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uriarte/Desktop/Ozone/AAA Abs_Coeffs/"/>
    </mc:Choice>
  </mc:AlternateContent>
  <xr:revisionPtr revIDLastSave="0" documentId="13_ncr:1_{8595213D-9EDB-5841-8775-0FC53AA0370C}" xr6:coauthVersionLast="47" xr6:coauthVersionMax="47" xr10:uidLastSave="{00000000-0000-0000-0000-000000000000}"/>
  <bookViews>
    <workbookView xWindow="0" yWindow="660" windowWidth="30240" windowHeight="17840" activeTab="2" xr2:uid="{9A86A3A3-680D-594B-A1F5-32D8C4113897}"/>
  </bookViews>
  <sheets>
    <sheet name="Sheet1" sheetId="1" r:id="rId1"/>
    <sheet name="Sheet3" sheetId="3" r:id="rId2"/>
    <sheet name="Data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4" i="2" l="1"/>
  <c r="BG2" i="2"/>
  <c r="BE2" i="2"/>
  <c r="BO3" i="2"/>
  <c r="AV3" i="2" s="1"/>
  <c r="BO4" i="2"/>
  <c r="AV4" i="2" s="1"/>
  <c r="BO5" i="2"/>
  <c r="AV5" i="2" s="1"/>
  <c r="BO6" i="2"/>
  <c r="AV6" i="2" s="1"/>
  <c r="BO7" i="2"/>
  <c r="AV7" i="2" s="1"/>
  <c r="BO8" i="2"/>
  <c r="AV8" i="2" s="1"/>
  <c r="BO9" i="2"/>
  <c r="AV9" i="2" s="1"/>
  <c r="BO10" i="2"/>
  <c r="AV10" i="2" s="1"/>
  <c r="BO11" i="2"/>
  <c r="AV11" i="2" s="1"/>
  <c r="BO12" i="2"/>
  <c r="AV12" i="2" s="1"/>
  <c r="BO13" i="2"/>
  <c r="AV13" i="2" s="1"/>
  <c r="BO14" i="2"/>
  <c r="AV14" i="2" s="1"/>
  <c r="BO15" i="2"/>
  <c r="AV15" i="2" s="1"/>
  <c r="BO16" i="2"/>
  <c r="AV16" i="2" s="1"/>
  <c r="BO17" i="2"/>
  <c r="AV17" i="2" s="1"/>
  <c r="BO18" i="2"/>
  <c r="AV18" i="2" s="1"/>
  <c r="BO19" i="2"/>
  <c r="AV19" i="2" s="1"/>
  <c r="BO20" i="2"/>
  <c r="AV20" i="2" s="1"/>
  <c r="BO21" i="2"/>
  <c r="AV21" i="2" s="1"/>
  <c r="BO22" i="2"/>
  <c r="BO23" i="2"/>
  <c r="BO24" i="2"/>
  <c r="BO25" i="2"/>
  <c r="BO26" i="2"/>
  <c r="BO27" i="2"/>
  <c r="BO28" i="2"/>
  <c r="BO29" i="2"/>
  <c r="BO30" i="2"/>
  <c r="BO31" i="2"/>
  <c r="BO32" i="2"/>
  <c r="AV32" i="2" s="1"/>
  <c r="BO33" i="2"/>
  <c r="AV33" i="2" s="1"/>
  <c r="BO34" i="2"/>
  <c r="AV34" i="2" s="1"/>
  <c r="BO35" i="2"/>
  <c r="AV35" i="2" s="1"/>
  <c r="BO36" i="2"/>
  <c r="AV36" i="2" s="1"/>
  <c r="BO37" i="2"/>
  <c r="AV37" i="2" s="1"/>
  <c r="BO38" i="2"/>
  <c r="AV38" i="2" s="1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AV55" i="2" s="1"/>
  <c r="BO56" i="2"/>
  <c r="AV56" i="2" s="1"/>
  <c r="BO57" i="2"/>
  <c r="AV57" i="2" s="1"/>
  <c r="BO58" i="2"/>
  <c r="AV58" i="2" s="1"/>
  <c r="BO59" i="2"/>
  <c r="AV59" i="2" s="1"/>
  <c r="BO60" i="2"/>
  <c r="AV60" i="2" s="1"/>
  <c r="BO61" i="2"/>
  <c r="AV61" i="2" s="1"/>
  <c r="BO62" i="2"/>
  <c r="AV62" i="2" s="1"/>
  <c r="BO63" i="2"/>
  <c r="AV63" i="2" s="1"/>
  <c r="BO64" i="2"/>
  <c r="AV64" i="2" s="1"/>
  <c r="BO65" i="2"/>
  <c r="AV65" i="2" s="1"/>
  <c r="BO66" i="2"/>
  <c r="AV66" i="2" s="1"/>
  <c r="BO67" i="2"/>
  <c r="AV67" i="2" s="1"/>
  <c r="BO68" i="2"/>
  <c r="AV68" i="2" s="1"/>
  <c r="BO69" i="2"/>
  <c r="AV69" i="2" s="1"/>
  <c r="BO70" i="2"/>
  <c r="AV70" i="2" s="1"/>
  <c r="BO71" i="2"/>
  <c r="AV71" i="2" s="1"/>
  <c r="BO72" i="2"/>
  <c r="AV72" i="2" s="1"/>
  <c r="BO73" i="2"/>
  <c r="AV73" i="2" s="1"/>
  <c r="BO74" i="2"/>
  <c r="AV74" i="2" s="1"/>
  <c r="BO75" i="2"/>
  <c r="AV75" i="2" s="1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AV2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BO2" i="2"/>
  <c r="BN2" i="2"/>
  <c r="AZ2" i="2"/>
  <c r="BC2" i="2"/>
  <c r="AS2" i="2"/>
  <c r="AU2" i="2" s="1"/>
  <c r="K2" i="1"/>
  <c r="H2" i="1"/>
  <c r="G2" i="1"/>
  <c r="C2" i="1"/>
  <c r="AY2" i="2"/>
  <c r="B2" i="1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D2" i="3"/>
  <c r="C2" i="3"/>
  <c r="BB2" i="2" l="1"/>
  <c r="BF2" i="2" s="1"/>
  <c r="BD2" i="2"/>
  <c r="AV22" i="2"/>
  <c r="AV23" i="2"/>
  <c r="AV24" i="2"/>
  <c r="AV25" i="2"/>
  <c r="AV26" i="2"/>
  <c r="AV27" i="2"/>
  <c r="AV28" i="2"/>
  <c r="AV29" i="2"/>
  <c r="AV30" i="2"/>
  <c r="AV31" i="2"/>
  <c r="BK53" i="2" l="1"/>
  <c r="BK51" i="2"/>
  <c r="BK54" i="2"/>
  <c r="BK60" i="2"/>
  <c r="BK73" i="2"/>
  <c r="BK74" i="2"/>
  <c r="BK75" i="2"/>
  <c r="BK76" i="2"/>
  <c r="BK79" i="2"/>
  <c r="BK80" i="2"/>
  <c r="BK82" i="2"/>
  <c r="BK89" i="2"/>
  <c r="BK95" i="2"/>
  <c r="BS14" i="2"/>
  <c r="BS17" i="2"/>
  <c r="BS23" i="2"/>
  <c r="BS36" i="2"/>
  <c r="BS39" i="2"/>
  <c r="BK100" i="2"/>
  <c r="BK5" i="2"/>
  <c r="BK6" i="2"/>
  <c r="BK7" i="2"/>
  <c r="BK8" i="2"/>
  <c r="BK9" i="2"/>
  <c r="BK10" i="2"/>
  <c r="BK11" i="2"/>
  <c r="BK12" i="2"/>
  <c r="BK18" i="2"/>
  <c r="BK34" i="2"/>
  <c r="BK36" i="2"/>
  <c r="BK38" i="2"/>
  <c r="BK49" i="2"/>
  <c r="BK52" i="2"/>
  <c r="BK55" i="2"/>
  <c r="BK58" i="2"/>
  <c r="BK25" i="2"/>
  <c r="BK29" i="2"/>
  <c r="BK33" i="2"/>
  <c r="BK47" i="2"/>
  <c r="BK56" i="2"/>
  <c r="BK59" i="2"/>
  <c r="BK43" i="2"/>
  <c r="BK46" i="2"/>
  <c r="BK63" i="2"/>
  <c r="BK64" i="2"/>
  <c r="BK67" i="2"/>
  <c r="BK68" i="2"/>
  <c r="BK69" i="2"/>
  <c r="BK70" i="2"/>
  <c r="BK77" i="2"/>
  <c r="BK83" i="2"/>
  <c r="BK84" i="2"/>
  <c r="BK85" i="2"/>
  <c r="BK90" i="2"/>
  <c r="BK97" i="2"/>
  <c r="BK98" i="2"/>
  <c r="BK4" i="2"/>
  <c r="BS13" i="2"/>
  <c r="BS18" i="2"/>
  <c r="BS24" i="2"/>
  <c r="BS37" i="2"/>
  <c r="BK13" i="2"/>
  <c r="BK14" i="2"/>
  <c r="BK15" i="2"/>
  <c r="BK16" i="2"/>
  <c r="BK17" i="2"/>
  <c r="BK40" i="2"/>
  <c r="BK61" i="2"/>
  <c r="BK19" i="2"/>
  <c r="BK20" i="2"/>
  <c r="BK21" i="2"/>
  <c r="BK22" i="2"/>
  <c r="BK23" i="2"/>
  <c r="BK24" i="2"/>
  <c r="BK26" i="2"/>
  <c r="BK27" i="2"/>
  <c r="BK28" i="2"/>
  <c r="BK30" i="2"/>
  <c r="BK31" i="2"/>
  <c r="BK32" i="2"/>
  <c r="BK35" i="2"/>
  <c r="BK37" i="2"/>
  <c r="BK39" i="2"/>
  <c r="BK50" i="2"/>
  <c r="BK62" i="2"/>
  <c r="BK41" i="2"/>
  <c r="BK42" i="2"/>
  <c r="BK44" i="2"/>
  <c r="BK45" i="2"/>
  <c r="BK48" i="2"/>
  <c r="BK57" i="2"/>
  <c r="BK65" i="2"/>
  <c r="BK66" i="2"/>
  <c r="BK71" i="2"/>
  <c r="BK72" i="2"/>
  <c r="BK78" i="2"/>
  <c r="BK81" i="2"/>
  <c r="BK86" i="2"/>
  <c r="BK87" i="2"/>
  <c r="BK88" i="2"/>
  <c r="BK91" i="2"/>
  <c r="BK92" i="2"/>
  <c r="BK93" i="2"/>
  <c r="BK94" i="2"/>
  <c r="BK96" i="2"/>
  <c r="BK99" i="2"/>
  <c r="BK3" i="2"/>
  <c r="BS15" i="2"/>
  <c r="BS19" i="2"/>
  <c r="BS25" i="2"/>
  <c r="BS38" i="2"/>
  <c r="BS26" i="2"/>
  <c r="BS28" i="2"/>
  <c r="BS29" i="2"/>
  <c r="BS31" i="2"/>
  <c r="BS32" i="2"/>
  <c r="BS35" i="2"/>
  <c r="BS41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P95" i="2"/>
  <c r="BP94" i="2"/>
  <c r="BP93" i="2"/>
  <c r="BP86" i="2"/>
  <c r="BP82" i="2"/>
  <c r="BP80" i="2"/>
  <c r="BP70" i="2"/>
  <c r="BP60" i="2"/>
  <c r="BP52" i="2"/>
  <c r="BP51" i="2"/>
  <c r="BP50" i="2"/>
  <c r="BP49" i="2"/>
  <c r="BP43" i="2"/>
  <c r="BP40" i="2"/>
  <c r="BP32" i="2"/>
  <c r="BP24" i="2"/>
  <c r="BP22" i="2"/>
  <c r="BP15" i="2"/>
  <c r="BP3" i="2"/>
  <c r="BP90" i="2"/>
  <c r="BP89" i="2"/>
  <c r="BP84" i="2"/>
  <c r="BP71" i="2"/>
  <c r="BP64" i="2"/>
  <c r="BP47" i="2"/>
  <c r="BP39" i="2"/>
  <c r="BP38" i="2"/>
  <c r="BP37" i="2"/>
  <c r="BP23" i="2"/>
  <c r="BP12" i="2"/>
  <c r="BP11" i="2"/>
  <c r="BP10" i="2"/>
  <c r="BP9" i="2"/>
  <c r="BP100" i="2"/>
  <c r="BP92" i="2"/>
  <c r="BP85" i="2"/>
  <c r="BP79" i="2"/>
  <c r="BP78" i="2"/>
  <c r="BP77" i="2"/>
  <c r="BP57" i="2"/>
  <c r="BP56" i="2"/>
  <c r="BP53" i="2"/>
  <c r="BP44" i="2"/>
  <c r="BP42" i="2"/>
  <c r="BP28" i="2"/>
  <c r="BP27" i="2"/>
  <c r="BP26" i="2"/>
  <c r="BP25" i="2"/>
  <c r="BP14" i="2"/>
  <c r="BP13" i="2"/>
  <c r="BP8" i="2"/>
  <c r="BP4" i="2"/>
  <c r="BP2" i="2"/>
  <c r="BP98" i="2"/>
  <c r="BP97" i="2"/>
  <c r="BP91" i="2"/>
  <c r="BP88" i="2"/>
  <c r="BP83" i="2"/>
  <c r="BP81" i="2"/>
  <c r="BP72" i="2"/>
  <c r="BP69" i="2"/>
  <c r="BP63" i="2"/>
  <c r="BP36" i="2"/>
  <c r="BP35" i="2"/>
  <c r="BP34" i="2"/>
  <c r="BP33" i="2"/>
  <c r="BP31" i="2"/>
  <c r="BP30" i="2"/>
  <c r="BP29" i="2"/>
  <c r="BP20" i="2"/>
  <c r="BP19" i="2"/>
  <c r="BP18" i="2"/>
  <c r="BP17" i="2"/>
  <c r="BP7" i="2"/>
  <c r="BP5" i="2"/>
  <c r="BI2" i="2"/>
  <c r="BP99" i="2"/>
  <c r="BP96" i="2"/>
  <c r="BP87" i="2"/>
  <c r="BP76" i="2"/>
  <c r="BP75" i="2"/>
  <c r="BP74" i="2"/>
  <c r="BP73" i="2"/>
  <c r="BP68" i="2"/>
  <c r="BP67" i="2"/>
  <c r="BP66" i="2"/>
  <c r="BP65" i="2"/>
  <c r="BP62" i="2"/>
  <c r="BP61" i="2"/>
  <c r="BP59" i="2"/>
  <c r="BP58" i="2"/>
  <c r="BP55" i="2"/>
  <c r="BP54" i="2"/>
  <c r="BP48" i="2"/>
  <c r="BP46" i="2"/>
  <c r="BP45" i="2"/>
  <c r="BP41" i="2"/>
  <c r="BP21" i="2"/>
  <c r="BP16" i="2"/>
  <c r="BP6" i="2"/>
  <c r="BD6" i="2"/>
  <c r="BK2" i="2"/>
  <c r="BR2" i="2"/>
  <c r="BR100" i="2"/>
  <c r="BR99" i="2"/>
  <c r="BR98" i="2"/>
  <c r="BR97" i="2"/>
  <c r="BR96" i="2"/>
  <c r="BR95" i="2"/>
  <c r="BR94" i="2"/>
  <c r="BR93" i="2"/>
  <c r="BR92" i="2"/>
  <c r="BR91" i="2"/>
  <c r="BR90" i="2"/>
  <c r="BR89" i="2"/>
  <c r="BR88" i="2"/>
  <c r="BR87" i="2"/>
  <c r="BR86" i="2"/>
  <c r="BR85" i="2"/>
  <c r="BR84" i="2"/>
  <c r="BR83" i="2"/>
  <c r="BR82" i="2"/>
  <c r="BR81" i="2"/>
  <c r="BR80" i="2"/>
  <c r="BR79" i="2"/>
  <c r="BR78" i="2"/>
  <c r="BR77" i="2"/>
  <c r="BR76" i="2"/>
  <c r="BR75" i="2"/>
  <c r="BR74" i="2"/>
  <c r="BR73" i="2"/>
  <c r="BR72" i="2"/>
  <c r="BR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7" i="2"/>
  <c r="BR56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1" i="2"/>
  <c r="BR20" i="2"/>
  <c r="BR19" i="2"/>
  <c r="BR18" i="2"/>
  <c r="BR17" i="2"/>
  <c r="BR15" i="2"/>
  <c r="BR14" i="2"/>
  <c r="BR13" i="2"/>
  <c r="BR12" i="2"/>
  <c r="BR11" i="2"/>
  <c r="BR10" i="2"/>
  <c r="BR9" i="2"/>
  <c r="BR8" i="2"/>
  <c r="BR7" i="2"/>
  <c r="BR6" i="2"/>
  <c r="BR5" i="2"/>
  <c r="BR4" i="2"/>
  <c r="BR3" i="2"/>
  <c r="BR16" i="2"/>
  <c r="BH2" i="2"/>
  <c r="BQ93" i="2"/>
  <c r="BS20" i="2"/>
  <c r="BS21" i="2"/>
  <c r="BS22" i="2"/>
  <c r="BS27" i="2"/>
  <c r="BS30" i="2"/>
  <c r="BS33" i="2"/>
  <c r="BS34" i="2"/>
  <c r="BS40" i="2"/>
  <c r="BS42" i="2"/>
  <c r="BS3" i="2"/>
  <c r="BS4" i="2"/>
  <c r="BS5" i="2"/>
  <c r="BS6" i="2"/>
  <c r="BS7" i="2"/>
  <c r="BS8" i="2"/>
  <c r="BS9" i="2"/>
  <c r="BS10" i="2"/>
  <c r="BS11" i="2"/>
  <c r="BS12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2" i="2"/>
  <c r="BQ89" i="2"/>
  <c r="BQ88" i="2"/>
  <c r="BQ87" i="2"/>
  <c r="BQ86" i="2"/>
  <c r="BQ85" i="2"/>
  <c r="BQ84" i="2"/>
  <c r="BQ83" i="2"/>
  <c r="BQ82" i="2"/>
  <c r="BQ81" i="2"/>
  <c r="BQ80" i="2"/>
  <c r="BQ79" i="2"/>
  <c r="BQ78" i="2"/>
  <c r="BQ77" i="2"/>
  <c r="BQ76" i="2"/>
  <c r="BQ75" i="2"/>
  <c r="BQ100" i="2"/>
  <c r="BQ97" i="2"/>
  <c r="BQ2" i="2"/>
  <c r="BQ99" i="2"/>
  <c r="BQ98" i="2"/>
  <c r="BQ96" i="2"/>
  <c r="BQ95" i="2"/>
  <c r="BQ94" i="2"/>
  <c r="BS16" i="2"/>
  <c r="BQ92" i="2"/>
  <c r="BQ91" i="2"/>
  <c r="BQ90" i="2"/>
  <c r="BQ74" i="2"/>
  <c r="BQ73" i="2"/>
  <c r="BQ72" i="2"/>
  <c r="BQ71" i="2"/>
  <c r="BQ70" i="2"/>
  <c r="BQ69" i="2"/>
  <c r="BQ67" i="2"/>
  <c r="BQ66" i="2"/>
  <c r="BQ65" i="2"/>
  <c r="BQ64" i="2"/>
  <c r="BQ63" i="2"/>
  <c r="BQ62" i="2"/>
  <c r="BQ61" i="2"/>
  <c r="BQ60" i="2"/>
  <c r="BQ59" i="2"/>
  <c r="BQ57" i="2"/>
  <c r="BQ56" i="2"/>
  <c r="BQ55" i="2"/>
  <c r="BQ54" i="2"/>
  <c r="BQ53" i="2"/>
  <c r="BQ52" i="2"/>
  <c r="BQ51" i="2"/>
  <c r="BQ50" i="2"/>
  <c r="BQ49" i="2"/>
  <c r="BQ48" i="2"/>
  <c r="BQ47" i="2"/>
  <c r="BQ46" i="2"/>
  <c r="BQ45" i="2"/>
  <c r="BQ44" i="2"/>
  <c r="BQ43" i="2"/>
  <c r="BQ42" i="2"/>
  <c r="BQ41" i="2"/>
  <c r="BQ40" i="2"/>
  <c r="BQ39" i="2"/>
  <c r="BQ38" i="2"/>
  <c r="BQ37" i="2"/>
  <c r="BQ36" i="2"/>
  <c r="BQ35" i="2"/>
  <c r="BQ34" i="2"/>
  <c r="BQ33" i="2"/>
  <c r="BQ32" i="2"/>
  <c r="BQ31" i="2"/>
  <c r="BQ30" i="2"/>
  <c r="BQ29" i="2"/>
  <c r="BQ28" i="2"/>
  <c r="BQ27" i="2"/>
  <c r="BQ26" i="2"/>
  <c r="BQ25" i="2"/>
  <c r="BQ23" i="2"/>
  <c r="BQ22" i="2"/>
  <c r="BQ21" i="2"/>
  <c r="BQ20" i="2"/>
  <c r="BQ19" i="2"/>
  <c r="BQ18" i="2"/>
  <c r="BQ17" i="2"/>
  <c r="BQ16" i="2"/>
  <c r="BQ15" i="2"/>
  <c r="BQ14" i="2"/>
  <c r="BQ13" i="2"/>
  <c r="BQ12" i="2"/>
  <c r="BQ11" i="2"/>
  <c r="BQ10" i="2"/>
  <c r="BQ9" i="2"/>
  <c r="BQ8" i="2"/>
  <c r="BQ7" i="2"/>
  <c r="BQ6" i="2"/>
  <c r="BQ5" i="2"/>
  <c r="BQ4" i="2"/>
  <c r="BQ3" i="2"/>
  <c r="BQ58" i="2"/>
  <c r="BQ68" i="2"/>
  <c r="BQ24" i="2"/>
  <c r="BL9" i="2" l="1"/>
  <c r="BL100" i="2"/>
  <c r="BL92" i="2"/>
  <c r="BL85" i="2"/>
  <c r="BL79" i="2"/>
  <c r="BL78" i="2"/>
  <c r="BL77" i="2"/>
  <c r="BL57" i="2"/>
  <c r="BL56" i="2"/>
  <c r="BL53" i="2"/>
  <c r="BL8" i="2"/>
  <c r="BL4" i="2"/>
  <c r="BL2" i="2"/>
  <c r="BL98" i="2"/>
  <c r="BL97" i="2"/>
  <c r="BL91" i="2"/>
  <c r="BL88" i="2"/>
  <c r="BL83" i="2"/>
  <c r="BL81" i="2"/>
  <c r="BL72" i="2"/>
  <c r="BL69" i="2"/>
  <c r="BL63" i="2"/>
  <c r="BL36" i="2"/>
  <c r="BL35" i="2"/>
  <c r="BL34" i="2"/>
  <c r="BL99" i="2"/>
  <c r="BL96" i="2"/>
  <c r="BL87" i="2"/>
  <c r="BL76" i="2"/>
  <c r="BL75" i="2"/>
  <c r="BL95" i="2"/>
  <c r="BL94" i="2"/>
  <c r="BL93" i="2"/>
  <c r="BL86" i="2"/>
  <c r="BL82" i="2"/>
  <c r="BL80" i="2"/>
  <c r="BL70" i="2"/>
  <c r="BL60" i="2"/>
  <c r="BL52" i="2"/>
  <c r="BL51" i="2"/>
  <c r="BL50" i="2"/>
  <c r="BL49" i="2"/>
  <c r="BL43" i="2"/>
  <c r="BL40" i="2"/>
  <c r="BL32" i="2"/>
  <c r="BL24" i="2"/>
  <c r="BL44" i="2"/>
  <c r="BL28" i="2"/>
  <c r="BL26" i="2"/>
  <c r="BL14" i="2"/>
  <c r="BL22" i="2"/>
  <c r="BL15" i="2"/>
  <c r="BL3" i="2"/>
  <c r="BL90" i="2"/>
  <c r="BL89" i="2"/>
  <c r="BL84" i="2"/>
  <c r="BL71" i="2"/>
  <c r="BL64" i="2"/>
  <c r="BL47" i="2"/>
  <c r="BL39" i="2"/>
  <c r="BL38" i="2"/>
  <c r="BL37" i="2"/>
  <c r="BL23" i="2"/>
  <c r="BL12" i="2"/>
  <c r="BL11" i="2"/>
  <c r="BL10" i="2"/>
  <c r="BL42" i="2"/>
  <c r="BL27" i="2"/>
  <c r="BL25" i="2"/>
  <c r="BL13" i="2"/>
  <c r="BL33" i="2"/>
  <c r="BL31" i="2"/>
  <c r="BL30" i="2"/>
  <c r="BL29" i="2"/>
  <c r="BL20" i="2"/>
  <c r="BL19" i="2"/>
  <c r="BL18" i="2"/>
  <c r="BL17" i="2"/>
  <c r="BL7" i="2"/>
  <c r="BL5" i="2"/>
  <c r="BL74" i="2"/>
  <c r="BL73" i="2"/>
  <c r="BL68" i="2"/>
  <c r="BL67" i="2"/>
  <c r="BL66" i="2"/>
  <c r="BL65" i="2"/>
  <c r="BL62" i="2"/>
  <c r="BL61" i="2"/>
  <c r="BL59" i="2"/>
  <c r="BL58" i="2"/>
  <c r="BL55" i="2"/>
  <c r="BL54" i="2"/>
  <c r="BL48" i="2"/>
  <c r="BL46" i="2"/>
  <c r="BL45" i="2"/>
  <c r="BL41" i="2"/>
  <c r="BL21" i="2"/>
  <c r="BL16" i="2"/>
  <c r="BL6" i="2"/>
</calcChain>
</file>

<file path=xl/sharedStrings.xml><?xml version="1.0" encoding="utf-8"?>
<sst xmlns="http://schemas.openxmlformats.org/spreadsheetml/2006/main" count="288" uniqueCount="174">
  <si>
    <t>Lamda</t>
  </si>
  <si>
    <t>Alpha</t>
  </si>
  <si>
    <t>Beta</t>
  </si>
  <si>
    <t>Unc_lamda</t>
  </si>
  <si>
    <t>Unc_alpha</t>
  </si>
  <si>
    <t>Unc_beta</t>
  </si>
  <si>
    <t>a</t>
  </si>
  <si>
    <t>b</t>
  </si>
  <si>
    <t>Unc_a</t>
  </si>
  <si>
    <t>Unc_b</t>
  </si>
  <si>
    <t>SN</t>
  </si>
  <si>
    <t>DATE</t>
  </si>
  <si>
    <t>TIME</t>
  </si>
  <si>
    <t>LATITUDE</t>
  </si>
  <si>
    <t>LONGITUDE</t>
  </si>
  <si>
    <t>ALTITUDE</t>
  </si>
  <si>
    <t>PRESSURE</t>
  </si>
  <si>
    <t>SZA</t>
  </si>
  <si>
    <t>TEMP</t>
  </si>
  <si>
    <t>SIG305</t>
  </si>
  <si>
    <t>SIG312</t>
  </si>
  <si>
    <t>SIG320</t>
  </si>
  <si>
    <t>SIG936</t>
  </si>
  <si>
    <t>SIG1020</t>
  </si>
  <si>
    <t>R305_312</t>
  </si>
  <si>
    <t>R312_320</t>
  </si>
  <si>
    <t>STD305_312</t>
  </si>
  <si>
    <t>STD312_320</t>
  </si>
  <si>
    <t>OZ305_312</t>
  </si>
  <si>
    <t>OZ312_320</t>
  </si>
  <si>
    <t>OZONE</t>
  </si>
  <si>
    <t>WATER</t>
  </si>
  <si>
    <t>AOT1020</t>
  </si>
  <si>
    <t>ID</t>
  </si>
  <si>
    <t>INCLINANGLE</t>
  </si>
  <si>
    <t>SIG305/F</t>
  </si>
  <si>
    <t>SIG312/F</t>
  </si>
  <si>
    <t>SIG320/F</t>
  </si>
  <si>
    <t>m</t>
  </si>
  <si>
    <t>Uncertainties SIG305</t>
  </si>
  <si>
    <t>Uncertainties SIG312</t>
  </si>
  <si>
    <t>Uncertainties SIG320</t>
  </si>
  <si>
    <t>Unc SIG305/F</t>
  </si>
  <si>
    <t>Unc SIG312/F</t>
  </si>
  <si>
    <t>Unc SIG320/F</t>
  </si>
  <si>
    <t>Unc SZA (deg)</t>
  </si>
  <si>
    <t>Unc m</t>
  </si>
  <si>
    <t>Unc LN(305)</t>
  </si>
  <si>
    <t>Unc LN(312)</t>
  </si>
  <si>
    <t>Unc LN(320)</t>
  </si>
  <si>
    <t>09/14/2026</t>
  </si>
  <si>
    <t>12:39:58</t>
  </si>
  <si>
    <t>12:46:30</t>
  </si>
  <si>
    <t>12:47:13</t>
  </si>
  <si>
    <t>12:54:59</t>
  </si>
  <si>
    <t>12:55:42</t>
  </si>
  <si>
    <t>13:08:23</t>
  </si>
  <si>
    <t>13:08:39</t>
  </si>
  <si>
    <t>13:08:53</t>
  </si>
  <si>
    <t>13:09:07</t>
  </si>
  <si>
    <t>13:09:21</t>
  </si>
  <si>
    <t>13:09:37</t>
  </si>
  <si>
    <t>13:09:51</t>
  </si>
  <si>
    <t>13:10:06</t>
  </si>
  <si>
    <t>13:10:19</t>
  </si>
  <si>
    <t>13:10:34</t>
  </si>
  <si>
    <t>13:15:46</t>
  </si>
  <si>
    <t>13:16:06</t>
  </si>
  <si>
    <t>13:16:32</t>
  </si>
  <si>
    <t>13:26:53</t>
  </si>
  <si>
    <t>13:27:12</t>
  </si>
  <si>
    <t>13:27:34</t>
  </si>
  <si>
    <t>13:28:02</t>
  </si>
  <si>
    <t>13:28:22</t>
  </si>
  <si>
    <t>13:28:59</t>
  </si>
  <si>
    <t>13:29:20</t>
  </si>
  <si>
    <t>13:29:38</t>
  </si>
  <si>
    <t>13:29:57</t>
  </si>
  <si>
    <t>13:30:11</t>
  </si>
  <si>
    <t>13:35:43</t>
  </si>
  <si>
    <t>13:36:00</t>
  </si>
  <si>
    <t>13:36:18</t>
  </si>
  <si>
    <t>13:36:39</t>
  </si>
  <si>
    <t>13:36:56</t>
  </si>
  <si>
    <t>13:37:12</t>
  </si>
  <si>
    <t>13:37:29</t>
  </si>
  <si>
    <t>13:37:43</t>
  </si>
  <si>
    <t>13:37:57</t>
  </si>
  <si>
    <t>13:38:17</t>
  </si>
  <si>
    <t>13:43:40</t>
  </si>
  <si>
    <t>13:44:00</t>
  </si>
  <si>
    <t>13:44:18</t>
  </si>
  <si>
    <t>13:44:36</t>
  </si>
  <si>
    <t>13:44:54</t>
  </si>
  <si>
    <t>13:45:12</t>
  </si>
  <si>
    <t>13:45:33</t>
  </si>
  <si>
    <t>13:45:50</t>
  </si>
  <si>
    <t>13:46:11</t>
  </si>
  <si>
    <t>13:46:27</t>
  </si>
  <si>
    <t>13:52:10</t>
  </si>
  <si>
    <t>13:52:26</t>
  </si>
  <si>
    <t>13:52:44</t>
  </si>
  <si>
    <t>13:53:01</t>
  </si>
  <si>
    <t>13:53:19</t>
  </si>
  <si>
    <t>13:53:35</t>
  </si>
  <si>
    <t>13:53:56</t>
  </si>
  <si>
    <t>13:54:13</t>
  </si>
  <si>
    <t>13:54:28</t>
  </si>
  <si>
    <t>13:54:46</t>
  </si>
  <si>
    <t>13:55:03</t>
  </si>
  <si>
    <t>19:10:10</t>
  </si>
  <si>
    <t>19:10:28</t>
  </si>
  <si>
    <t>19:10:43</t>
  </si>
  <si>
    <t>19:10:58</t>
  </si>
  <si>
    <t>19:11:15</t>
  </si>
  <si>
    <t>19:11:31</t>
  </si>
  <si>
    <t>19:11:46</t>
  </si>
  <si>
    <t>19:12:05</t>
  </si>
  <si>
    <t>19:12:20</t>
  </si>
  <si>
    <t>19:12:36</t>
  </si>
  <si>
    <t>19:17:03</t>
  </si>
  <si>
    <t>19:17:19</t>
  </si>
  <si>
    <t>19:17:38</t>
  </si>
  <si>
    <t>19:17:54</t>
  </si>
  <si>
    <t>19:18:14</t>
  </si>
  <si>
    <t>19:18:41</t>
  </si>
  <si>
    <t>19:18:57</t>
  </si>
  <si>
    <t>19:19:17</t>
  </si>
  <si>
    <t>19:20:39</t>
  </si>
  <si>
    <t>19:20:58</t>
  </si>
  <si>
    <t>19:25:35</t>
  </si>
  <si>
    <t>19:25:51</t>
  </si>
  <si>
    <t>19:26:06</t>
  </si>
  <si>
    <t>19:26:31</t>
  </si>
  <si>
    <t>19:26:47</t>
  </si>
  <si>
    <t>19:27:08</t>
  </si>
  <si>
    <t>19:27:29</t>
  </si>
  <si>
    <t>19:27:54</t>
  </si>
  <si>
    <t>19:28:14</t>
  </si>
  <si>
    <t>19:28:31</t>
  </si>
  <si>
    <t>19:33:56</t>
  </si>
  <si>
    <t>19:34:18</t>
  </si>
  <si>
    <t>19:34:33</t>
  </si>
  <si>
    <t>19:34:50</t>
  </si>
  <si>
    <t>19:35:04</t>
  </si>
  <si>
    <t>19:35:18</t>
  </si>
  <si>
    <t>19:35:34</t>
  </si>
  <si>
    <t>19:35:51</t>
  </si>
  <si>
    <t>19:36:10</t>
  </si>
  <si>
    <t>19:36:27</t>
  </si>
  <si>
    <t>Theo_delta</t>
  </si>
  <si>
    <t>Unc_theo_d</t>
  </si>
  <si>
    <t>Altitude</t>
  </si>
  <si>
    <t>average</t>
  </si>
  <si>
    <t>std</t>
  </si>
  <si>
    <t>v</t>
  </si>
  <si>
    <t>Unc_v</t>
  </si>
  <si>
    <t>mu</t>
  </si>
  <si>
    <t>Unc_mu</t>
  </si>
  <si>
    <t>r</t>
  </si>
  <si>
    <t>delta_r</t>
  </si>
  <si>
    <t>Uncmu_1</t>
  </si>
  <si>
    <t>Uncmu_2</t>
  </si>
  <si>
    <t>omega</t>
  </si>
  <si>
    <t>unc omega</t>
  </si>
  <si>
    <t>uncom_1</t>
  </si>
  <si>
    <t>uncom_2</t>
  </si>
  <si>
    <t>uncom_3</t>
  </si>
  <si>
    <t>uncom-4</t>
  </si>
  <si>
    <t>Uncs_sum(a,b)</t>
  </si>
  <si>
    <t>LN(305/Fsig)</t>
  </si>
  <si>
    <t>LN(312/fsig)</t>
  </si>
  <si>
    <t>LN(320/Fsig)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</si>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</sst>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2905-60E0-5747-B36C-36E5328E914A}">
  <dimension ref="A1:L2"/>
  <sheetViews>
    <sheetView zoomScale="125" workbookViewId="0">
      <selection activeCell="K3" sqref="K3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150</v>
      </c>
      <c r="L1" t="s">
        <v>151</v>
      </c>
    </row>
    <row r="2" spans="1:12" x14ac:dyDescent="0.2">
      <c r="A2">
        <v>305</v>
      </c>
      <c r="B2">
        <f>2.1349*POWER(10,19)*EXP(-0.14052*A2)</f>
        <v>5.201445532955784</v>
      </c>
      <c r="C2">
        <f>16.407-0.085283*A2+0.00011522*POWER(A2,2)</f>
        <v>1.1140255000000003</v>
      </c>
      <c r="D2">
        <v>0.3</v>
      </c>
      <c r="G2">
        <f>(-1)*B2*0.3195</f>
        <v>-1.661861847779373</v>
      </c>
      <c r="H2">
        <f>(-1)*C2*1009.91/1013.25</f>
        <v>-1.1103533113298794</v>
      </c>
      <c r="K2">
        <f>G2-H2</f>
        <v>-0.5515085364494936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0CE3-6861-3B40-8FEF-D6313CC8CAA6}">
  <dimension ref="A1:D5"/>
  <sheetViews>
    <sheetView workbookViewId="0">
      <selection activeCell="B3" sqref="B3"/>
    </sheetView>
  </sheetViews>
  <sheetFormatPr baseColWidth="10" defaultRowHeight="16" x14ac:dyDescent="0.2"/>
  <sheetData>
    <row r="1" spans="1:4" x14ac:dyDescent="0.2">
      <c r="A1" t="s">
        <v>152</v>
      </c>
      <c r="C1" t="s">
        <v>153</v>
      </c>
      <c r="D1" t="s">
        <v>154</v>
      </c>
    </row>
    <row r="2" spans="1:4" x14ac:dyDescent="0.2">
      <c r="A2">
        <v>103</v>
      </c>
      <c r="C2">
        <f>AVERAGE(A2:A5)</f>
        <v>106.5</v>
      </c>
      <c r="D2">
        <f>STDEV(A2:A5)</f>
        <v>3.1091263510296048</v>
      </c>
    </row>
    <row r="3" spans="1:4" x14ac:dyDescent="0.2">
      <c r="A3">
        <v>108</v>
      </c>
    </row>
    <row r="4" spans="1:4" x14ac:dyDescent="0.2">
      <c r="A4">
        <v>105</v>
      </c>
    </row>
    <row r="5" spans="1:4" x14ac:dyDescent="0.2">
      <c r="A5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9AE1-C6AC-D94A-99D1-385511B9E6D4}">
  <dimension ref="A1:BS104"/>
  <sheetViews>
    <sheetView tabSelected="1" topLeftCell="A71" workbookViewId="0">
      <selection activeCell="G105" sqref="G105"/>
    </sheetView>
  </sheetViews>
  <sheetFormatPr baseColWidth="10" defaultRowHeight="16" x14ac:dyDescent="0.2"/>
  <cols>
    <col min="25" max="25" width="13.5" customWidth="1"/>
    <col min="30" max="30" width="19.33203125" customWidth="1"/>
    <col min="31" max="31" width="19.83203125" customWidth="1"/>
    <col min="32" max="32" width="18" customWidth="1"/>
    <col min="33" max="33" width="18.33203125" customWidth="1"/>
    <col min="34" max="34" width="21.1640625" customWidth="1"/>
    <col min="35" max="35" width="19" customWidth="1"/>
    <col min="38" max="38" width="15.83203125" customWidth="1"/>
    <col min="39" max="39" width="15" customWidth="1"/>
    <col min="40" max="40" width="15.1640625" customWidth="1"/>
    <col min="56" max="56" width="13.83203125" customWidth="1"/>
    <col min="58" max="58" width="12.1640625" bestFit="1" customWidth="1"/>
    <col min="68" max="68" width="12.83203125" bestFit="1" customWidth="1"/>
    <col min="69" max="69" width="15" customWidth="1"/>
    <col min="70" max="70" width="14.5" customWidth="1"/>
    <col min="71" max="71" width="13.6640625" customWidth="1"/>
  </cols>
  <sheetData>
    <row r="1" spans="1:71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170</v>
      </c>
      <c r="AM1" t="s">
        <v>171</v>
      </c>
      <c r="AN1" t="s">
        <v>172</v>
      </c>
      <c r="AO1" t="s">
        <v>47</v>
      </c>
      <c r="AP1" t="s">
        <v>48</v>
      </c>
      <c r="AQ1" t="s">
        <v>49</v>
      </c>
      <c r="AS1" t="s">
        <v>155</v>
      </c>
      <c r="AT1" t="s">
        <v>156</v>
      </c>
      <c r="AU1" t="s">
        <v>157</v>
      </c>
      <c r="AV1" t="s">
        <v>158</v>
      </c>
      <c r="AX1" t="s">
        <v>0</v>
      </c>
      <c r="AY1" t="s">
        <v>1</v>
      </c>
      <c r="AZ1" t="s">
        <v>2</v>
      </c>
      <c r="BA1" t="s">
        <v>3</v>
      </c>
      <c r="BB1" t="s">
        <v>4</v>
      </c>
      <c r="BC1" t="s">
        <v>5</v>
      </c>
      <c r="BD1" t="s">
        <v>6</v>
      </c>
      <c r="BE1" t="s">
        <v>7</v>
      </c>
      <c r="BF1" t="s">
        <v>8</v>
      </c>
      <c r="BG1" t="s">
        <v>9</v>
      </c>
      <c r="BH1" t="s">
        <v>150</v>
      </c>
      <c r="BI1" t="s">
        <v>151</v>
      </c>
      <c r="BK1" t="s">
        <v>163</v>
      </c>
      <c r="BL1" t="s">
        <v>164</v>
      </c>
      <c r="BN1" t="s">
        <v>161</v>
      </c>
      <c r="BO1" t="s">
        <v>162</v>
      </c>
      <c r="BP1" t="s">
        <v>165</v>
      </c>
      <c r="BQ1" t="s">
        <v>166</v>
      </c>
      <c r="BR1" t="s">
        <v>167</v>
      </c>
      <c r="BS1" t="s">
        <v>168</v>
      </c>
    </row>
    <row r="2" spans="1:71" x14ac:dyDescent="0.2">
      <c r="A2">
        <v>26093</v>
      </c>
      <c r="B2" t="s">
        <v>50</v>
      </c>
      <c r="C2" t="s">
        <v>51</v>
      </c>
      <c r="D2">
        <v>43.667000000000002</v>
      </c>
      <c r="E2">
        <v>-79.400000000000006</v>
      </c>
      <c r="F2">
        <v>75</v>
      </c>
      <c r="G2">
        <v>1010</v>
      </c>
      <c r="H2">
        <v>72.150000000000006</v>
      </c>
      <c r="I2">
        <v>15.2</v>
      </c>
      <c r="J2">
        <v>2.9</v>
      </c>
      <c r="K2">
        <v>31.17</v>
      </c>
      <c r="L2">
        <v>67.27</v>
      </c>
      <c r="M2">
        <v>303.11</v>
      </c>
      <c r="N2">
        <v>1252.8</v>
      </c>
      <c r="O2">
        <v>9.2999999999999999E-2</v>
      </c>
      <c r="P2">
        <v>0.46329999999999999</v>
      </c>
      <c r="Q2">
        <v>1.9E-2</v>
      </c>
      <c r="R2">
        <v>1.2E-2</v>
      </c>
      <c r="S2">
        <v>314.89999999999998</v>
      </c>
      <c r="T2">
        <v>251.4</v>
      </c>
      <c r="U2">
        <v>359.8</v>
      </c>
      <c r="V2">
        <v>1.06</v>
      </c>
      <c r="W2">
        <v>4.4999999999999998E-2</v>
      </c>
      <c r="X2">
        <v>80</v>
      </c>
      <c r="Y2">
        <v>72.2</v>
      </c>
      <c r="Z2">
        <v>2.8650747389324138</v>
      </c>
      <c r="AA2">
        <v>30.79461365949081</v>
      </c>
      <c r="AB2">
        <v>66.459854375166714</v>
      </c>
      <c r="AC2">
        <v>3.2342382507495513</v>
      </c>
      <c r="AD2">
        <v>5.7999999999999996E-2</v>
      </c>
      <c r="AE2">
        <v>0.62340000000000007</v>
      </c>
      <c r="AF2">
        <v>1.3453999999999999</v>
      </c>
      <c r="AG2">
        <v>5.7301494778648279E-2</v>
      </c>
      <c r="AH2">
        <v>0.61589227318981621</v>
      </c>
      <c r="AI2">
        <v>1.3291970875033343</v>
      </c>
      <c r="AJ2">
        <v>2.5</v>
      </c>
      <c r="AK2">
        <v>0.4299954146580155</v>
      </c>
      <c r="AL2">
        <v>1.05259443671385</v>
      </c>
      <c r="AM2">
        <v>3.4273397935006678</v>
      </c>
      <c r="AN2">
        <v>4.1965980717589364</v>
      </c>
      <c r="AO2">
        <v>0.02</v>
      </c>
      <c r="AP2">
        <v>0.02</v>
      </c>
      <c r="AQ2">
        <v>0.02</v>
      </c>
      <c r="AS2">
        <f>POWER(6371+106.5,2)/POWER(6371+25.56333,2)</f>
        <v>1.0254664005271346</v>
      </c>
      <c r="AT2" s="1">
        <v>9.8442442509999993E-4</v>
      </c>
      <c r="AU2">
        <f>1/SQRT(1-AS2*POWER(SIN(RADIANS(H2)),2))</f>
        <v>3.7559863931576305</v>
      </c>
      <c r="AV2">
        <f>SQRT(POWER(BN2,2)+POWER(BO2,2))</f>
        <v>0.34676734534444975</v>
      </c>
      <c r="AX2">
        <v>321.27</v>
      </c>
      <c r="AY2">
        <f>2.1349*POWER(10,19)*EXP(-0.14052*AX2)</f>
        <v>0.52870544024722843</v>
      </c>
      <c r="AZ2">
        <f>16.407-0.085283*AX2+0.00011522*POWER(AX2,2)</f>
        <v>0.90049524433800165</v>
      </c>
      <c r="BA2">
        <v>0.3</v>
      </c>
      <c r="BB2">
        <f>AY2*0.042156</f>
        <v>2.2288106539062161E-2</v>
      </c>
      <c r="BC2">
        <f>ABS(-0.0255852+0.000069132*AX2)</f>
        <v>3.3751623599999996E-3</v>
      </c>
      <c r="BD2">
        <f>(-1)*AY2*0.3195</f>
        <v>-0.16892138815898949</v>
      </c>
      <c r="BE2">
        <f>(-1)*AZ2*1009.91/1013.25</f>
        <v>-0.8975269205125993</v>
      </c>
      <c r="BF2">
        <f>SQRT(POWER(BB2/AY2,2)+POWER(1.1/319.5,2))/1000</f>
        <v>4.2296356288055506E-5</v>
      </c>
      <c r="BG2">
        <f>BC2*1009.91/1013.25</f>
        <v>3.3640367322848256E-3</v>
      </c>
      <c r="BH2">
        <f>BD2+BE2</f>
        <v>-1.0664483086715888</v>
      </c>
      <c r="BI2">
        <f>SQRT(POWER(BF2,2)+POWER(BG2,2))</f>
        <v>3.3643026198481034E-3</v>
      </c>
      <c r="BK2">
        <f>($BD$2*AU2+$BE$2*AC2)/($BD$2+$BE$2)</f>
        <v>3.3168811878411115</v>
      </c>
      <c r="BL2">
        <f>SQRT(POWER(BP2,2)+POWER(BQ2,2)+POWER(BR2,2)+POWER(BS2,2))</f>
        <v>0.36603047649586806</v>
      </c>
      <c r="BN2" s="1">
        <f>POWER(AU2,3)*SIN(RADIANS(H2))*AT2/2</f>
        <v>2.4825529723923618E-2</v>
      </c>
      <c r="BO2">
        <f>POWER(AU2,3)*AS2*SIN(RADIANS(H2))*COS(RADIANS(H2))*RADIANS(AJ2)/2</f>
        <v>0.34587755762865485</v>
      </c>
      <c r="BP2">
        <f>$BF$2*$BE$2*(AU2-AC2)/POWER($BD$2+$BE$2,2)</f>
        <v>-1.7415330926955078E-5</v>
      </c>
      <c r="BQ2">
        <f>$BG$2*$BD$2*(AC2-AU2)/POWER($BD$2+$BE$2,2)</f>
        <v>2.6069137508053994E-4</v>
      </c>
      <c r="BR2">
        <f>AV2*$BD$2/($BD$2+$BE$2)</f>
        <v>5.4926639076166121E-2</v>
      </c>
      <c r="BS2">
        <f>AK2*$BE$2/($BD$2+$BE$2)</f>
        <v>0.36188576343965512</v>
      </c>
    </row>
    <row r="3" spans="1:71" x14ac:dyDescent="0.2">
      <c r="A3">
        <v>26093</v>
      </c>
      <c r="B3" t="s">
        <v>50</v>
      </c>
      <c r="C3" t="s">
        <v>52</v>
      </c>
      <c r="D3">
        <v>43.667000000000002</v>
      </c>
      <c r="E3">
        <v>-79.400000000000006</v>
      </c>
      <c r="F3">
        <v>75</v>
      </c>
      <c r="G3">
        <v>1010</v>
      </c>
      <c r="H3">
        <v>71</v>
      </c>
      <c r="I3">
        <v>14.3</v>
      </c>
      <c r="J3">
        <v>4.5599999999999996</v>
      </c>
      <c r="K3">
        <v>41.48</v>
      </c>
      <c r="L3">
        <v>85.61</v>
      </c>
      <c r="M3">
        <v>317.87</v>
      </c>
      <c r="N3">
        <v>1276.5899999999999</v>
      </c>
      <c r="O3">
        <v>0.11</v>
      </c>
      <c r="P3">
        <v>0.48449999999999999</v>
      </c>
      <c r="Q3">
        <v>2.3E-2</v>
      </c>
      <c r="R3">
        <v>8.0000000000000002E-3</v>
      </c>
      <c r="S3">
        <v>315</v>
      </c>
      <c r="T3">
        <v>258</v>
      </c>
      <c r="U3">
        <v>355.3</v>
      </c>
      <c r="V3">
        <v>1.0900000000000001</v>
      </c>
      <c r="W3">
        <v>4.2000000000000003E-2</v>
      </c>
      <c r="X3">
        <v>80</v>
      </c>
      <c r="Y3">
        <v>70.099999999999994</v>
      </c>
      <c r="Z3">
        <v>4.5050830377695883</v>
      </c>
      <c r="AA3">
        <v>40.980448334798801</v>
      </c>
      <c r="AB3">
        <v>84.578982206897919</v>
      </c>
      <c r="AC3">
        <v>3.0483113925450009</v>
      </c>
      <c r="AD3">
        <v>9.1199999999999989E-2</v>
      </c>
      <c r="AE3">
        <v>0.8296</v>
      </c>
      <c r="AF3">
        <v>1.7121999999999999</v>
      </c>
      <c r="AG3">
        <v>9.0101660755391777E-2</v>
      </c>
      <c r="AH3">
        <v>0.81960896669597616</v>
      </c>
      <c r="AI3">
        <v>1.6915796441379585</v>
      </c>
      <c r="AJ3">
        <v>2.5</v>
      </c>
      <c r="AK3">
        <v>0.37983388866433115</v>
      </c>
      <c r="AL3">
        <v>1.5052063232477166</v>
      </c>
      <c r="AM3">
        <v>3.7130950830827487</v>
      </c>
      <c r="AN3">
        <v>4.4376857984758162</v>
      </c>
      <c r="AO3">
        <v>2.0000000000000004E-2</v>
      </c>
      <c r="AP3">
        <v>2.0000000000000004E-2</v>
      </c>
      <c r="AQ3">
        <v>0.02</v>
      </c>
      <c r="AS3">
        <f t="shared" ref="AS3:AS66" si="0">POWER(6371+106.5,2)/POWER(6371+25.56333,2)</f>
        <v>1.0254664005271346</v>
      </c>
      <c r="AT3" s="1">
        <v>9.8442442509999993E-4</v>
      </c>
      <c r="AU3">
        <f t="shared" ref="AU3:AU66" si="1">1/SQRT(1-AS3*POWER(SIN(RADIANS(H3)),2))</f>
        <v>3.4663029132056327</v>
      </c>
      <c r="AV3">
        <f t="shared" ref="AV3:AV66" si="2">SQRT(POWER(BN3,2)+POWER(BO3,2))</f>
        <v>0.28748138342763385</v>
      </c>
      <c r="BK3">
        <f>($BD$2*AU3+$BE$2*AC3)/($BD$2+$BE$2)</f>
        <v>3.1145196722474018</v>
      </c>
      <c r="BL3">
        <f t="shared" ref="BL3:BL66" si="3">SQRT(POWER(BP3,2)+POWER(BQ3,2)+POWER(BR3,2)+POWER(BS3,2))</f>
        <v>0.3228966442731378</v>
      </c>
      <c r="BN3" s="1">
        <f t="shared" ref="BN3:BN66" si="4">POWER(AU3,3)*SIN(RADIANS(H3))*AT3/2</f>
        <v>1.9383044234236948E-2</v>
      </c>
      <c r="BO3">
        <f t="shared" ref="BO3:BO66" si="5">POWER(AU3,3)*AS3*SIN(RADIANS(H3))*COS(RADIANS(H3))*RADIANS(AJ3)/2</f>
        <v>0.28682720131410105</v>
      </c>
      <c r="BP3">
        <f t="shared" ref="BP3:BP66" si="6">$BF$2*$BE$2*(AU3-AC3)/POWER($BD$2+$BE$2,2)</f>
        <v>-1.3952058599324226E-5</v>
      </c>
      <c r="BQ3">
        <f t="shared" ref="BQ3:BQ66" si="7">$BG$2*$BD$2*(AC3-AU3)/POWER($BD$2+$BE$2,2)</f>
        <v>2.0884939578337568E-4</v>
      </c>
      <c r="BR3">
        <f t="shared" ref="BR3:BR66" si="8">AV3*$BD$2/($BD$2+$BE$2)</f>
        <v>4.5535966406991743E-2</v>
      </c>
      <c r="BS3">
        <f t="shared" ref="BS3:BS66" si="9">AK3*$BE$2/($BD$2+$BE$2)</f>
        <v>0.31966963389334396</v>
      </c>
    </row>
    <row r="4" spans="1:71" x14ac:dyDescent="0.2">
      <c r="A4">
        <v>26093</v>
      </c>
      <c r="B4" t="s">
        <v>50</v>
      </c>
      <c r="C4" t="s">
        <v>53</v>
      </c>
      <c r="D4">
        <v>43.667000000000002</v>
      </c>
      <c r="E4">
        <v>-79.400000000000006</v>
      </c>
      <c r="F4">
        <v>75</v>
      </c>
      <c r="G4">
        <v>1010</v>
      </c>
      <c r="H4">
        <v>70.87</v>
      </c>
      <c r="I4">
        <v>14.1</v>
      </c>
      <c r="J4">
        <v>4.6900000000000004</v>
      </c>
      <c r="K4">
        <v>42.02</v>
      </c>
      <c r="L4">
        <v>87.93</v>
      </c>
      <c r="M4">
        <v>317.61</v>
      </c>
      <c r="N4">
        <v>1261.0999999999999</v>
      </c>
      <c r="O4">
        <v>0.1116</v>
      </c>
      <c r="P4">
        <v>0.47789999999999999</v>
      </c>
      <c r="Q4">
        <v>2.7E-2</v>
      </c>
      <c r="R4">
        <v>1.2999999999999999E-2</v>
      </c>
      <c r="S4">
        <v>315.39999999999998</v>
      </c>
      <c r="T4">
        <v>264.10000000000002</v>
      </c>
      <c r="U4">
        <v>351.6</v>
      </c>
      <c r="V4">
        <v>1.0900000000000001</v>
      </c>
      <c r="W4">
        <v>4.5999999999999999E-2</v>
      </c>
      <c r="X4">
        <v>80</v>
      </c>
      <c r="Y4">
        <v>70.400000000000006</v>
      </c>
      <c r="Z4">
        <v>4.6335174226182838</v>
      </c>
      <c r="AA4">
        <v>41.513945010324157</v>
      </c>
      <c r="AB4">
        <v>86.871041998043864</v>
      </c>
      <c r="AC4">
        <v>3.0286924947583458</v>
      </c>
      <c r="AD4">
        <v>9.3800000000000008E-2</v>
      </c>
      <c r="AE4">
        <v>0.84040000000000004</v>
      </c>
      <c r="AF4">
        <v>1.7586000000000002</v>
      </c>
      <c r="AG4">
        <v>9.2670348452365672E-2</v>
      </c>
      <c r="AH4">
        <v>0.83027890020648309</v>
      </c>
      <c r="AI4">
        <v>1.7374208399608773</v>
      </c>
      <c r="AJ4">
        <v>2.5</v>
      </c>
      <c r="AK4">
        <v>0.37470672473809513</v>
      </c>
      <c r="AL4">
        <v>1.5333162821796102</v>
      </c>
      <c r="AM4">
        <v>3.7260293951382768</v>
      </c>
      <c r="AN4">
        <v>4.4644247431123327</v>
      </c>
      <c r="AO4">
        <v>0.02</v>
      </c>
      <c r="AP4">
        <v>0.02</v>
      </c>
      <c r="AQ4">
        <v>0.02</v>
      </c>
      <c r="AS4">
        <f t="shared" si="0"/>
        <v>1.0254664005271346</v>
      </c>
      <c r="AT4" s="1">
        <v>9.8442442509999993E-4</v>
      </c>
      <c r="AU4">
        <f t="shared" si="1"/>
        <v>3.4367681696762946</v>
      </c>
      <c r="AV4">
        <f t="shared" si="2"/>
        <v>0.28181151727680981</v>
      </c>
      <c r="BK4">
        <f t="shared" ref="BK4:BK66" si="10">($BD$2*AU4+$BE$2*AC4)/($BD$2+$BE$2)</f>
        <v>3.0933301419096848</v>
      </c>
      <c r="BL4">
        <f t="shared" si="3"/>
        <v>0.31849819740374369</v>
      </c>
      <c r="BN4" s="1">
        <f t="shared" si="4"/>
        <v>1.8876984402402826E-2</v>
      </c>
      <c r="BO4">
        <f t="shared" si="5"/>
        <v>0.28117857444999095</v>
      </c>
      <c r="BP4">
        <f t="shared" si="6"/>
        <v>-1.3621079490836292E-5</v>
      </c>
      <c r="BQ4">
        <f t="shared" si="7"/>
        <v>2.0389494505966863E-4</v>
      </c>
      <c r="BR4">
        <f t="shared" si="8"/>
        <v>4.4637881002303079E-2</v>
      </c>
      <c r="BS4">
        <f t="shared" si="9"/>
        <v>0.31535459338715188</v>
      </c>
    </row>
    <row r="5" spans="1:71" x14ac:dyDescent="0.2">
      <c r="A5">
        <v>26093</v>
      </c>
      <c r="B5" t="s">
        <v>50</v>
      </c>
      <c r="C5" t="s">
        <v>54</v>
      </c>
      <c r="D5">
        <v>43.667000000000002</v>
      </c>
      <c r="E5">
        <v>-79.400000000000006</v>
      </c>
      <c r="F5">
        <v>75</v>
      </c>
      <c r="G5">
        <v>1009</v>
      </c>
      <c r="H5">
        <v>69.52</v>
      </c>
      <c r="I5">
        <v>11.7</v>
      </c>
      <c r="J5">
        <v>7.7</v>
      </c>
      <c r="K5">
        <v>58.65</v>
      </c>
      <c r="L5">
        <v>109.58</v>
      </c>
      <c r="M5">
        <v>354.69</v>
      </c>
      <c r="N5">
        <v>1304.95</v>
      </c>
      <c r="O5">
        <v>0.1313</v>
      </c>
      <c r="P5">
        <v>0.53520000000000001</v>
      </c>
      <c r="Q5">
        <v>1E-3</v>
      </c>
      <c r="R5">
        <v>4.0000000000000001E-3</v>
      </c>
      <c r="S5">
        <v>316.89999999999998</v>
      </c>
      <c r="T5">
        <v>251.3</v>
      </c>
      <c r="U5">
        <v>363.3</v>
      </c>
      <c r="V5">
        <v>1.07</v>
      </c>
      <c r="W5">
        <v>3.7999999999999999E-2</v>
      </c>
      <c r="X5">
        <v>80</v>
      </c>
      <c r="Y5">
        <v>68.5</v>
      </c>
      <c r="Z5">
        <v>7.6072674102688236</v>
      </c>
      <c r="AA5">
        <v>57.943666702891754</v>
      </c>
      <c r="AB5">
        <v>108.26030685938412</v>
      </c>
      <c r="AC5">
        <v>2.8396641684899477</v>
      </c>
      <c r="AD5">
        <v>0.154</v>
      </c>
      <c r="AE5">
        <v>1.173</v>
      </c>
      <c r="AF5">
        <v>2.1916000000000002</v>
      </c>
      <c r="AG5">
        <v>0.15214534820537648</v>
      </c>
      <c r="AH5">
        <v>1.1588733340578352</v>
      </c>
      <c r="AI5">
        <v>2.1652061371876825</v>
      </c>
      <c r="AJ5">
        <v>2.5</v>
      </c>
      <c r="AK5">
        <v>0.32693498674844385</v>
      </c>
      <c r="AL5">
        <v>2.0291040285810604</v>
      </c>
      <c r="AM5">
        <v>4.0594712748209067</v>
      </c>
      <c r="AN5">
        <v>4.6845385758316915</v>
      </c>
      <c r="AO5">
        <v>0.02</v>
      </c>
      <c r="AP5">
        <v>2.0000000000000004E-2</v>
      </c>
      <c r="AQ5">
        <v>0.02</v>
      </c>
      <c r="AS5">
        <f t="shared" si="0"/>
        <v>1.0254664005271346</v>
      </c>
      <c r="AT5" s="1">
        <v>9.8442442509999993E-4</v>
      </c>
      <c r="AU5">
        <f t="shared" si="1"/>
        <v>3.1612125755719909</v>
      </c>
      <c r="AV5">
        <f t="shared" si="2"/>
        <v>0.2321083356650657</v>
      </c>
      <c r="BD5" t="s">
        <v>169</v>
      </c>
      <c r="BK5">
        <f t="shared" si="10"/>
        <v>2.8905962229017259</v>
      </c>
      <c r="BL5">
        <f t="shared" si="3"/>
        <v>0.27759514572489585</v>
      </c>
      <c r="BN5" s="1">
        <f t="shared" si="4"/>
        <v>1.4566585535256289E-2</v>
      </c>
      <c r="BO5">
        <f t="shared" si="5"/>
        <v>0.23165080200821855</v>
      </c>
      <c r="BP5">
        <f t="shared" si="6"/>
        <v>-1.0732902454665899E-5</v>
      </c>
      <c r="BQ5">
        <f t="shared" si="7"/>
        <v>1.6066160966149139E-4</v>
      </c>
      <c r="BR5">
        <f t="shared" si="8"/>
        <v>3.6765084575599113E-2</v>
      </c>
      <c r="BS5">
        <f t="shared" si="9"/>
        <v>0.27514971844220953</v>
      </c>
    </row>
    <row r="6" spans="1:71" x14ac:dyDescent="0.2">
      <c r="A6">
        <v>26093</v>
      </c>
      <c r="B6" t="s">
        <v>50</v>
      </c>
      <c r="C6" t="s">
        <v>55</v>
      </c>
      <c r="D6">
        <v>43.667000000000002</v>
      </c>
      <c r="E6">
        <v>-79.400000000000006</v>
      </c>
      <c r="F6">
        <v>75</v>
      </c>
      <c r="G6">
        <v>1009</v>
      </c>
      <c r="H6">
        <v>69.39</v>
      </c>
      <c r="I6">
        <v>11.7</v>
      </c>
      <c r="J6">
        <v>7.49</v>
      </c>
      <c r="K6">
        <v>57.39</v>
      </c>
      <c r="L6">
        <v>109.07</v>
      </c>
      <c r="M6">
        <v>326.61</v>
      </c>
      <c r="N6">
        <v>1235.48</v>
      </c>
      <c r="O6">
        <v>0.13059999999999999</v>
      </c>
      <c r="P6">
        <v>0.5262</v>
      </c>
      <c r="Q6">
        <v>7.0000000000000001E-3</v>
      </c>
      <c r="R6">
        <v>2.7E-2</v>
      </c>
      <c r="S6">
        <v>319.7</v>
      </c>
      <c r="T6">
        <v>258.5</v>
      </c>
      <c r="U6">
        <v>362.8</v>
      </c>
      <c r="V6">
        <v>1.1000000000000001</v>
      </c>
      <c r="W6">
        <v>5.8000000000000003E-2</v>
      </c>
      <c r="X6">
        <v>80</v>
      </c>
      <c r="Y6">
        <v>68.900000000000006</v>
      </c>
      <c r="Z6">
        <v>7.399796480897856</v>
      </c>
      <c r="AA6">
        <v>56.698841126665947</v>
      </c>
      <c r="AB6">
        <v>107.75644888805462</v>
      </c>
      <c r="AC6">
        <v>2.8227702576262432</v>
      </c>
      <c r="AD6">
        <v>0.14980000000000002</v>
      </c>
      <c r="AE6">
        <v>1.1477999999999999</v>
      </c>
      <c r="AF6">
        <v>2.1814</v>
      </c>
      <c r="AG6">
        <v>0.14799592961795713</v>
      </c>
      <c r="AH6">
        <v>1.1339768225333189</v>
      </c>
      <c r="AI6">
        <v>2.1551289777610925</v>
      </c>
      <c r="AJ6">
        <v>2.5</v>
      </c>
      <c r="AK6">
        <v>0.32280944674777562</v>
      </c>
      <c r="AL6">
        <v>2.0014524972505505</v>
      </c>
      <c r="AM6">
        <v>4.0377537718416932</v>
      </c>
      <c r="AN6">
        <v>4.6798735776620735</v>
      </c>
      <c r="AO6">
        <v>0.02</v>
      </c>
      <c r="AP6">
        <v>0.02</v>
      </c>
      <c r="AQ6">
        <v>0.02</v>
      </c>
      <c r="AS6">
        <f t="shared" si="0"/>
        <v>1.0254664005271346</v>
      </c>
      <c r="AT6" s="1">
        <v>9.8442442509999993E-4</v>
      </c>
      <c r="AU6">
        <f t="shared" si="1"/>
        <v>3.1373313700696106</v>
      </c>
      <c r="AV6">
        <f t="shared" si="2"/>
        <v>0.22806595186811562</v>
      </c>
      <c r="AX6" t="s">
        <v>159</v>
      </c>
      <c r="AY6" t="s">
        <v>160</v>
      </c>
      <c r="BD6">
        <f>SQRT(POWER(BF2,2)+POWER(BG2,2))</f>
        <v>3.3643026198481034E-3</v>
      </c>
      <c r="BK6">
        <f t="shared" si="10"/>
        <v>2.8725955509317935</v>
      </c>
      <c r="BL6">
        <f t="shared" si="3"/>
        <v>0.27406891403348327</v>
      </c>
      <c r="BN6" s="1">
        <f t="shared" si="4"/>
        <v>1.4226842856090733E-2</v>
      </c>
      <c r="BO6">
        <f t="shared" si="5"/>
        <v>0.22762178134760683</v>
      </c>
      <c r="BP6">
        <f t="shared" si="6"/>
        <v>-1.049967489039505E-5</v>
      </c>
      <c r="BQ6">
        <f t="shared" si="7"/>
        <v>1.571704090238769E-4</v>
      </c>
      <c r="BR6">
        <f t="shared" si="8"/>
        <v>3.6124786234929609E-2</v>
      </c>
      <c r="BS6">
        <f t="shared" si="9"/>
        <v>0.27167764841111391</v>
      </c>
    </row>
    <row r="7" spans="1:71" x14ac:dyDescent="0.2">
      <c r="A7">
        <v>26093</v>
      </c>
      <c r="B7" t="s">
        <v>50</v>
      </c>
      <c r="C7" t="s">
        <v>56</v>
      </c>
      <c r="D7">
        <v>43.667000000000002</v>
      </c>
      <c r="E7">
        <v>-79.400000000000006</v>
      </c>
      <c r="F7">
        <v>75</v>
      </c>
      <c r="G7">
        <v>1009</v>
      </c>
      <c r="H7">
        <v>67.209999999999994</v>
      </c>
      <c r="I7">
        <v>10.8</v>
      </c>
      <c r="J7">
        <v>15.22</v>
      </c>
      <c r="K7">
        <v>90.88</v>
      </c>
      <c r="L7">
        <v>150.13999999999999</v>
      </c>
      <c r="M7">
        <v>406.03</v>
      </c>
      <c r="N7">
        <v>1318.55</v>
      </c>
      <c r="O7">
        <v>0.16739999999999999</v>
      </c>
      <c r="P7">
        <v>0.60529999999999995</v>
      </c>
      <c r="Q7">
        <v>1E-3</v>
      </c>
      <c r="R7">
        <v>2E-3</v>
      </c>
      <c r="S7">
        <v>318.3</v>
      </c>
      <c r="T7">
        <v>243.2</v>
      </c>
      <c r="U7">
        <v>371.2</v>
      </c>
      <c r="V7">
        <v>1.03</v>
      </c>
      <c r="W7">
        <v>3.9E-2</v>
      </c>
      <c r="X7">
        <v>80</v>
      </c>
      <c r="Y7">
        <v>66.5</v>
      </c>
      <c r="Z7">
        <v>15.036702595362533</v>
      </c>
      <c r="AA7">
        <v>89.785514577302678</v>
      </c>
      <c r="AB7">
        <v>148.33183493217678</v>
      </c>
      <c r="AC7">
        <v>2.5683699700320748</v>
      </c>
      <c r="AD7">
        <v>0.3044</v>
      </c>
      <c r="AE7">
        <v>1.8175999999999999</v>
      </c>
      <c r="AF7">
        <v>3.0027999999999997</v>
      </c>
      <c r="AG7">
        <v>0.30073405190725067</v>
      </c>
      <c r="AH7">
        <v>1.7957102915460537</v>
      </c>
      <c r="AI7">
        <v>2.9666366986435353</v>
      </c>
      <c r="AJ7">
        <v>2.5</v>
      </c>
      <c r="AK7">
        <v>0.26354925911834692</v>
      </c>
      <c r="AL7">
        <v>2.7104940521549619</v>
      </c>
      <c r="AM7">
        <v>4.4974236546942636</v>
      </c>
      <c r="AN7">
        <v>4.9994518918662783</v>
      </c>
      <c r="AO7">
        <v>0.02</v>
      </c>
      <c r="AP7">
        <v>0.02</v>
      </c>
      <c r="AQ7">
        <v>1.9999999999999997E-2</v>
      </c>
      <c r="AS7">
        <f t="shared" si="0"/>
        <v>1.0254664005271346</v>
      </c>
      <c r="AT7" s="1">
        <v>9.8442442509999993E-4</v>
      </c>
      <c r="AU7">
        <f t="shared" si="1"/>
        <v>2.7907460827284751</v>
      </c>
      <c r="AV7">
        <f t="shared" si="2"/>
        <v>0.17393072574247498</v>
      </c>
      <c r="AX7">
        <v>106.5</v>
      </c>
      <c r="AY7">
        <v>3.1091263510296048</v>
      </c>
      <c r="BK7">
        <f t="shared" si="10"/>
        <v>2.6035935072111687</v>
      </c>
      <c r="BL7">
        <f t="shared" si="3"/>
        <v>0.22350850158582747</v>
      </c>
      <c r="BN7" s="1">
        <f t="shared" si="4"/>
        <v>9.8630598244671616E-3</v>
      </c>
      <c r="BO7">
        <f t="shared" si="5"/>
        <v>0.17365084914334</v>
      </c>
      <c r="BP7">
        <f t="shared" si="6"/>
        <v>-7.4226495085988052E-6</v>
      </c>
      <c r="BQ7">
        <f t="shared" si="7"/>
        <v>1.1111018879018445E-4</v>
      </c>
      <c r="BR7">
        <f t="shared" si="8"/>
        <v>2.7549970680263963E-2</v>
      </c>
      <c r="BS7">
        <f t="shared" si="9"/>
        <v>0.22180405090098929</v>
      </c>
    </row>
    <row r="8" spans="1:71" x14ac:dyDescent="0.2">
      <c r="A8">
        <v>26093</v>
      </c>
      <c r="B8" t="s">
        <v>50</v>
      </c>
      <c r="C8" t="s">
        <v>57</v>
      </c>
      <c r="D8">
        <v>43.667000000000002</v>
      </c>
      <c r="E8">
        <v>-79.400000000000006</v>
      </c>
      <c r="F8">
        <v>75</v>
      </c>
      <c r="G8">
        <v>1009</v>
      </c>
      <c r="H8">
        <v>67.16</v>
      </c>
      <c r="I8">
        <v>10.8</v>
      </c>
      <c r="J8">
        <v>15.33</v>
      </c>
      <c r="K8">
        <v>91.25</v>
      </c>
      <c r="L8">
        <v>151.47999999999999</v>
      </c>
      <c r="M8">
        <v>400.57</v>
      </c>
      <c r="N8">
        <v>1300.92</v>
      </c>
      <c r="O8">
        <v>0.16800000000000001</v>
      </c>
      <c r="P8">
        <v>0.60240000000000005</v>
      </c>
      <c r="Q8">
        <v>4.0000000000000001E-3</v>
      </c>
      <c r="R8">
        <v>0</v>
      </c>
      <c r="S8">
        <v>318.39999999999998</v>
      </c>
      <c r="T8">
        <v>245.5</v>
      </c>
      <c r="U8">
        <v>369.9</v>
      </c>
      <c r="V8">
        <v>1.03</v>
      </c>
      <c r="W8">
        <v>4.3999999999999997E-2</v>
      </c>
      <c r="X8">
        <v>80</v>
      </c>
      <c r="Y8">
        <v>65.7</v>
      </c>
      <c r="Z8">
        <v>15.145377844080658</v>
      </c>
      <c r="AA8">
        <v>90.151058595718197</v>
      </c>
      <c r="AB8">
        <v>149.65569705292484</v>
      </c>
      <c r="AC8">
        <v>2.5631104809867238</v>
      </c>
      <c r="AD8">
        <v>0.30659999999999998</v>
      </c>
      <c r="AE8">
        <v>1.825</v>
      </c>
      <c r="AF8">
        <v>3.0295999999999998</v>
      </c>
      <c r="AG8">
        <v>0.30290755688161314</v>
      </c>
      <c r="AH8">
        <v>1.8030211719143641</v>
      </c>
      <c r="AI8">
        <v>2.993113941058497</v>
      </c>
      <c r="AJ8">
        <v>2.5</v>
      </c>
      <c r="AK8">
        <v>0.26238088800799636</v>
      </c>
      <c r="AL8">
        <v>2.7176953926051448</v>
      </c>
      <c r="AM8">
        <v>4.5014866921840229</v>
      </c>
      <c r="AN8">
        <v>5.0083373027550158</v>
      </c>
      <c r="AO8">
        <v>0.02</v>
      </c>
      <c r="AP8">
        <v>0.02</v>
      </c>
      <c r="AQ8">
        <v>0.02</v>
      </c>
      <c r="AS8">
        <f t="shared" si="0"/>
        <v>1.0254664005271346</v>
      </c>
      <c r="AT8" s="1">
        <v>9.8442442509999993E-4</v>
      </c>
      <c r="AU8">
        <f t="shared" si="1"/>
        <v>2.7838199817127216</v>
      </c>
      <c r="AV8">
        <f t="shared" si="2"/>
        <v>0.17293280617086063</v>
      </c>
      <c r="BK8">
        <f t="shared" si="10"/>
        <v>2.598070033118185</v>
      </c>
      <c r="BL8">
        <f t="shared" si="3"/>
        <v>0.22251321354773854</v>
      </c>
      <c r="BN8" s="1">
        <f t="shared" si="4"/>
        <v>9.786213997540311E-3</v>
      </c>
      <c r="BO8">
        <f t="shared" si="5"/>
        <v>0.17265568471881484</v>
      </c>
      <c r="BP8">
        <f t="shared" si="6"/>
        <v>-7.3670199880845119E-6</v>
      </c>
      <c r="BQ8">
        <f t="shared" si="7"/>
        <v>1.1027746638836687E-4</v>
      </c>
      <c r="BR8">
        <f t="shared" si="8"/>
        <v>2.7391903985481449E-2</v>
      </c>
      <c r="BS8">
        <f t="shared" si="9"/>
        <v>0.2208207453660074</v>
      </c>
    </row>
    <row r="9" spans="1:71" x14ac:dyDescent="0.2">
      <c r="A9">
        <v>26093</v>
      </c>
      <c r="B9" t="s">
        <v>50</v>
      </c>
      <c r="C9" t="s">
        <v>58</v>
      </c>
      <c r="D9">
        <v>43.667000000000002</v>
      </c>
      <c r="E9">
        <v>-79.400000000000006</v>
      </c>
      <c r="F9">
        <v>75</v>
      </c>
      <c r="G9">
        <v>1010</v>
      </c>
      <c r="H9">
        <v>67.12</v>
      </c>
      <c r="I9">
        <v>10.9</v>
      </c>
      <c r="J9">
        <v>15.17</v>
      </c>
      <c r="K9">
        <v>90.33</v>
      </c>
      <c r="L9">
        <v>152.27000000000001</v>
      </c>
      <c r="M9">
        <v>391.39</v>
      </c>
      <c r="N9">
        <v>1286.96</v>
      </c>
      <c r="O9">
        <v>0.16789999999999999</v>
      </c>
      <c r="P9">
        <v>0.59319999999999995</v>
      </c>
      <c r="Q9">
        <v>1E-3</v>
      </c>
      <c r="R9">
        <v>1E-3</v>
      </c>
      <c r="S9">
        <v>319</v>
      </c>
      <c r="T9">
        <v>251.2</v>
      </c>
      <c r="U9">
        <v>366.9</v>
      </c>
      <c r="V9">
        <v>1.04</v>
      </c>
      <c r="W9">
        <v>4.8000000000000001E-2</v>
      </c>
      <c r="X9">
        <v>80</v>
      </c>
      <c r="Y9">
        <v>66.2</v>
      </c>
      <c r="Z9">
        <v>14.98730475503611</v>
      </c>
      <c r="AA9">
        <v>89.242138333712049</v>
      </c>
      <c r="AB9">
        <v>150.43618293008231</v>
      </c>
      <c r="AC9">
        <v>2.5589196692591161</v>
      </c>
      <c r="AD9">
        <v>0.3034</v>
      </c>
      <c r="AE9">
        <v>1.8066</v>
      </c>
      <c r="AF9">
        <v>3.0454000000000003</v>
      </c>
      <c r="AG9">
        <v>0.2997460951007222</v>
      </c>
      <c r="AH9">
        <v>1.784842766674241</v>
      </c>
      <c r="AI9">
        <v>3.0087236586016464</v>
      </c>
      <c r="AJ9">
        <v>2.5</v>
      </c>
      <c r="AK9">
        <v>0.26145156699565258</v>
      </c>
      <c r="AL9">
        <v>2.7072034930818631</v>
      </c>
      <c r="AM9">
        <v>4.4913533308831743</v>
      </c>
      <c r="AN9">
        <v>5.0135389605740635</v>
      </c>
      <c r="AO9">
        <v>0.02</v>
      </c>
      <c r="AP9">
        <v>0.02</v>
      </c>
      <c r="AQ9">
        <v>0.02</v>
      </c>
      <c r="AS9">
        <f t="shared" si="0"/>
        <v>1.0254664005271346</v>
      </c>
      <c r="AT9" s="1">
        <v>9.8442442509999993E-4</v>
      </c>
      <c r="AU9">
        <f t="shared" si="1"/>
        <v>2.7783076509653903</v>
      </c>
      <c r="AV9">
        <f t="shared" si="2"/>
        <v>0.17214086805907897</v>
      </c>
      <c r="BK9">
        <f t="shared" si="10"/>
        <v>2.5936698977642232</v>
      </c>
      <c r="BL9">
        <f t="shared" si="3"/>
        <v>0.22172160190038756</v>
      </c>
      <c r="BN9" s="1">
        <f t="shared" si="4"/>
        <v>9.7253321901401325E-3</v>
      </c>
      <c r="BO9">
        <f t="shared" si="5"/>
        <v>0.17186592556386696</v>
      </c>
      <c r="BP9">
        <f t="shared" si="6"/>
        <v>-7.3229092588186092E-6</v>
      </c>
      <c r="BQ9">
        <f t="shared" si="7"/>
        <v>1.0961716962361602E-4</v>
      </c>
      <c r="BR9">
        <f t="shared" si="8"/>
        <v>2.72664639767249E-2</v>
      </c>
      <c r="BS9">
        <f t="shared" si="9"/>
        <v>0.22003862529549451</v>
      </c>
    </row>
    <row r="10" spans="1:71" x14ac:dyDescent="0.2">
      <c r="A10">
        <v>26093</v>
      </c>
      <c r="B10" t="s">
        <v>50</v>
      </c>
      <c r="C10" t="s">
        <v>59</v>
      </c>
      <c r="D10">
        <v>43.667000000000002</v>
      </c>
      <c r="E10">
        <v>-79.400000000000006</v>
      </c>
      <c r="F10">
        <v>75</v>
      </c>
      <c r="G10">
        <v>1010</v>
      </c>
      <c r="H10">
        <v>67.08</v>
      </c>
      <c r="I10">
        <v>11</v>
      </c>
      <c r="J10">
        <v>15.44</v>
      </c>
      <c r="K10">
        <v>91.27</v>
      </c>
      <c r="L10">
        <v>153.57</v>
      </c>
      <c r="M10">
        <v>394.78</v>
      </c>
      <c r="N10">
        <v>1296.1199999999999</v>
      </c>
      <c r="O10">
        <v>0.16919999999999999</v>
      </c>
      <c r="P10">
        <v>0.59430000000000005</v>
      </c>
      <c r="Q10">
        <v>1E-3</v>
      </c>
      <c r="R10">
        <v>1E-3</v>
      </c>
      <c r="S10">
        <v>318.5</v>
      </c>
      <c r="T10">
        <v>251.1</v>
      </c>
      <c r="U10">
        <v>366.1</v>
      </c>
      <c r="V10">
        <v>1.04</v>
      </c>
      <c r="W10">
        <v>4.5999999999999999E-2</v>
      </c>
      <c r="X10">
        <v>80</v>
      </c>
      <c r="Y10">
        <v>65.3</v>
      </c>
      <c r="Z10">
        <v>15.254053092798783</v>
      </c>
      <c r="AA10">
        <v>90.170817731848771</v>
      </c>
      <c r="AB10">
        <v>151.72052677856925</v>
      </c>
      <c r="AC10">
        <v>2.5547436900993072</v>
      </c>
      <c r="AD10">
        <v>0.30880000000000002</v>
      </c>
      <c r="AE10">
        <v>1.8253999999999999</v>
      </c>
      <c r="AF10">
        <v>3.0714000000000001</v>
      </c>
      <c r="AG10">
        <v>0.30508106185597572</v>
      </c>
      <c r="AH10">
        <v>1.8034163546369752</v>
      </c>
      <c r="AI10">
        <v>3.0344105355713853</v>
      </c>
      <c r="AJ10">
        <v>2.5</v>
      </c>
      <c r="AK10">
        <v>0.26052698942023272</v>
      </c>
      <c r="AL10">
        <v>2.7248452443180522</v>
      </c>
      <c r="AM10">
        <v>4.501705846250208</v>
      </c>
      <c r="AN10">
        <v>5.022040188859024</v>
      </c>
      <c r="AO10">
        <v>2.0000000000000004E-2</v>
      </c>
      <c r="AP10">
        <v>1.9999999999999997E-2</v>
      </c>
      <c r="AQ10">
        <v>0.02</v>
      </c>
      <c r="AS10">
        <f t="shared" si="0"/>
        <v>1.0254664005271346</v>
      </c>
      <c r="AT10" s="1">
        <v>9.8442442509999993E-4</v>
      </c>
      <c r="AU10">
        <f t="shared" si="1"/>
        <v>2.7728205027058221</v>
      </c>
      <c r="AV10">
        <f t="shared" si="2"/>
        <v>0.17135455554746157</v>
      </c>
      <c r="BK10">
        <f t="shared" si="10"/>
        <v>2.5892862343663299</v>
      </c>
      <c r="BL10">
        <f t="shared" si="3"/>
        <v>0.22093406519275849</v>
      </c>
      <c r="BN10" s="1">
        <f t="shared" si="4"/>
        <v>9.6649727805387456E-3</v>
      </c>
      <c r="BO10">
        <f t="shared" si="5"/>
        <v>0.17108176994647775</v>
      </c>
      <c r="BP10">
        <f t="shared" si="6"/>
        <v>-7.2791439975411716E-6</v>
      </c>
      <c r="BQ10">
        <f t="shared" si="7"/>
        <v>1.0896204419470352E-4</v>
      </c>
      <c r="BR10">
        <f t="shared" si="8"/>
        <v>2.7141915041807799E-2</v>
      </c>
      <c r="BS10">
        <f t="shared" si="9"/>
        <v>0.21926049731939479</v>
      </c>
    </row>
    <row r="11" spans="1:71" x14ac:dyDescent="0.2">
      <c r="A11">
        <v>26093</v>
      </c>
      <c r="B11" t="s">
        <v>50</v>
      </c>
      <c r="C11" t="s">
        <v>60</v>
      </c>
      <c r="D11">
        <v>43.667000000000002</v>
      </c>
      <c r="E11">
        <v>-79.400000000000006</v>
      </c>
      <c r="F11">
        <v>75</v>
      </c>
      <c r="G11">
        <v>1009</v>
      </c>
      <c r="H11">
        <v>67.040000000000006</v>
      </c>
      <c r="I11">
        <v>11</v>
      </c>
      <c r="J11">
        <v>14.59</v>
      </c>
      <c r="K11">
        <v>87.01</v>
      </c>
      <c r="L11">
        <v>146.99</v>
      </c>
      <c r="M11">
        <v>369.59</v>
      </c>
      <c r="N11">
        <v>1196.23</v>
      </c>
      <c r="O11">
        <v>0.16769999999999999</v>
      </c>
      <c r="P11">
        <v>0.59199999999999997</v>
      </c>
      <c r="Q11">
        <v>1.0999999999999999E-2</v>
      </c>
      <c r="R11">
        <v>1.4E-2</v>
      </c>
      <c r="S11">
        <v>320.39999999999998</v>
      </c>
      <c r="T11">
        <v>253.1</v>
      </c>
      <c r="U11">
        <v>367.9</v>
      </c>
      <c r="V11">
        <v>1.01</v>
      </c>
      <c r="W11">
        <v>7.6999999999999999E-2</v>
      </c>
      <c r="X11">
        <v>80</v>
      </c>
      <c r="Y11">
        <v>65.8</v>
      </c>
      <c r="Z11">
        <v>14.414289807249627</v>
      </c>
      <c r="AA11">
        <v>85.962121736037716</v>
      </c>
      <c r="AB11">
        <v>145.21977099161228</v>
      </c>
      <c r="AC11">
        <v>2.5505824678552682</v>
      </c>
      <c r="AD11">
        <v>0.2918</v>
      </c>
      <c r="AE11">
        <v>1.7402000000000002</v>
      </c>
      <c r="AF11">
        <v>2.9398000000000004</v>
      </c>
      <c r="AG11">
        <v>0.28828579614499256</v>
      </c>
      <c r="AH11">
        <v>1.7192424347207542</v>
      </c>
      <c r="AI11">
        <v>2.9043954198322455</v>
      </c>
      <c r="AJ11">
        <v>2.5</v>
      </c>
      <c r="AK11">
        <v>0.25960712315327988</v>
      </c>
      <c r="AL11">
        <v>2.6682200622561165</v>
      </c>
      <c r="AM11">
        <v>4.4539067542993553</v>
      </c>
      <c r="AN11">
        <v>4.978248256975319</v>
      </c>
      <c r="AO11">
        <v>0.02</v>
      </c>
      <c r="AP11">
        <v>0.02</v>
      </c>
      <c r="AQ11">
        <v>0.02</v>
      </c>
      <c r="AS11">
        <f t="shared" si="0"/>
        <v>1.0254664005271346</v>
      </c>
      <c r="AT11" s="1">
        <v>9.8442442509999993E-4</v>
      </c>
      <c r="AU11">
        <f t="shared" si="1"/>
        <v>2.767358358508579</v>
      </c>
      <c r="AV11">
        <f t="shared" si="2"/>
        <v>0.17057381299428259</v>
      </c>
      <c r="BK11">
        <f t="shared" si="10"/>
        <v>2.5849189509935568</v>
      </c>
      <c r="BL11">
        <f t="shared" si="3"/>
        <v>0.2201505753966726</v>
      </c>
      <c r="BN11" s="1">
        <f t="shared" si="4"/>
        <v>9.6051299820785387E-3</v>
      </c>
      <c r="BO11">
        <f t="shared" si="5"/>
        <v>0.17030316249980756</v>
      </c>
      <c r="BP11">
        <f t="shared" si="6"/>
        <v>-7.2357207737983454E-6</v>
      </c>
      <c r="BQ11">
        <f t="shared" si="7"/>
        <v>1.0831203875091226E-4</v>
      </c>
      <c r="BR11">
        <f t="shared" si="8"/>
        <v>2.701824836729071E-2</v>
      </c>
      <c r="BS11">
        <f t="shared" si="9"/>
        <v>0.21848633439827769</v>
      </c>
    </row>
    <row r="12" spans="1:71" x14ac:dyDescent="0.2">
      <c r="A12">
        <v>26093</v>
      </c>
      <c r="B12" t="s">
        <v>50</v>
      </c>
      <c r="C12" t="s">
        <v>61</v>
      </c>
      <c r="D12">
        <v>43.667000000000002</v>
      </c>
      <c r="E12">
        <v>-79.400000000000006</v>
      </c>
      <c r="F12">
        <v>75</v>
      </c>
      <c r="G12">
        <v>1009</v>
      </c>
      <c r="H12">
        <v>67</v>
      </c>
      <c r="I12">
        <v>11.1</v>
      </c>
      <c r="J12">
        <v>16.2</v>
      </c>
      <c r="K12">
        <v>94.64</v>
      </c>
      <c r="L12">
        <v>156.24</v>
      </c>
      <c r="M12">
        <v>412.86</v>
      </c>
      <c r="N12">
        <v>1345.69</v>
      </c>
      <c r="O12">
        <v>0.1711</v>
      </c>
      <c r="P12">
        <v>0.60580000000000001</v>
      </c>
      <c r="Q12">
        <v>2E-3</v>
      </c>
      <c r="R12">
        <v>1E-3</v>
      </c>
      <c r="S12">
        <v>318.10000000000002</v>
      </c>
      <c r="T12">
        <v>245.7</v>
      </c>
      <c r="U12">
        <v>369.2</v>
      </c>
      <c r="V12">
        <v>1.05</v>
      </c>
      <c r="W12">
        <v>3.1E-2</v>
      </c>
      <c r="X12">
        <v>80</v>
      </c>
      <c r="Y12">
        <v>65.400000000000006</v>
      </c>
      <c r="Z12">
        <v>16.00490026576038</v>
      </c>
      <c r="AA12">
        <v>93.500232169849539</v>
      </c>
      <c r="AB12">
        <v>154.35837145200014</v>
      </c>
      <c r="AC12">
        <v>2.5464359273870265</v>
      </c>
      <c r="AD12">
        <v>0.32400000000000001</v>
      </c>
      <c r="AE12">
        <v>1.8928</v>
      </c>
      <c r="AF12">
        <v>3.1248000000000005</v>
      </c>
      <c r="AG12">
        <v>0.32009800531520766</v>
      </c>
      <c r="AH12">
        <v>1.8700046433969908</v>
      </c>
      <c r="AI12">
        <v>3.0871674290400031</v>
      </c>
      <c r="AJ12">
        <v>2.5</v>
      </c>
      <c r="AK12">
        <v>0.25869193633595383</v>
      </c>
      <c r="AL12">
        <v>2.7728949419597604</v>
      </c>
      <c r="AM12">
        <v>4.5379639193915535</v>
      </c>
      <c r="AN12">
        <v>5.0392769862898454</v>
      </c>
      <c r="AO12">
        <v>2.0000000000000004E-2</v>
      </c>
      <c r="AP12">
        <v>0.02</v>
      </c>
      <c r="AQ12">
        <v>0.02</v>
      </c>
      <c r="AS12">
        <f t="shared" si="0"/>
        <v>1.0254664005271346</v>
      </c>
      <c r="AT12" s="1">
        <v>9.8442442509999993E-4</v>
      </c>
      <c r="AU12">
        <f t="shared" si="1"/>
        <v>2.7619210417086659</v>
      </c>
      <c r="AV12">
        <f t="shared" si="2"/>
        <v>0.16979858546572849</v>
      </c>
      <c r="BK12">
        <f t="shared" si="10"/>
        <v>2.5805679564247503</v>
      </c>
      <c r="BL12">
        <f t="shared" si="3"/>
        <v>0.21937110472573862</v>
      </c>
      <c r="BN12" s="1">
        <f t="shared" si="4"/>
        <v>9.5457980871348561E-3</v>
      </c>
      <c r="BO12">
        <f t="shared" si="5"/>
        <v>0.1695300485608435</v>
      </c>
      <c r="BP12">
        <f t="shared" si="6"/>
        <v>-7.1926361988059211E-6</v>
      </c>
      <c r="BQ12">
        <f t="shared" si="7"/>
        <v>1.0766710256528104E-4</v>
      </c>
      <c r="BR12">
        <f t="shared" si="8"/>
        <v>2.6895455251864854E-2</v>
      </c>
      <c r="BS12">
        <f t="shared" si="9"/>
        <v>0.21771610971962302</v>
      </c>
    </row>
    <row r="13" spans="1:71" x14ac:dyDescent="0.2">
      <c r="A13">
        <v>26093</v>
      </c>
      <c r="B13" t="s">
        <v>50</v>
      </c>
      <c r="C13" t="s">
        <v>62</v>
      </c>
      <c r="D13">
        <v>43.667000000000002</v>
      </c>
      <c r="E13">
        <v>-79.400000000000006</v>
      </c>
      <c r="F13">
        <v>75</v>
      </c>
      <c r="G13">
        <v>1010</v>
      </c>
      <c r="H13">
        <v>66.959999999999994</v>
      </c>
      <c r="I13">
        <v>11.1</v>
      </c>
      <c r="J13">
        <v>14.99</v>
      </c>
      <c r="K13">
        <v>89.66</v>
      </c>
      <c r="L13">
        <v>154.74</v>
      </c>
      <c r="M13">
        <v>381.56</v>
      </c>
      <c r="N13">
        <v>1264.3</v>
      </c>
      <c r="O13">
        <v>0.16719999999999999</v>
      </c>
      <c r="P13">
        <v>0.57940000000000003</v>
      </c>
      <c r="Q13">
        <v>1.4E-2</v>
      </c>
      <c r="R13">
        <v>1.7999999999999999E-2</v>
      </c>
      <c r="S13">
        <v>322</v>
      </c>
      <c r="T13">
        <v>261.60000000000002</v>
      </c>
      <c r="U13">
        <v>364.6</v>
      </c>
      <c r="V13">
        <v>1.06</v>
      </c>
      <c r="W13">
        <v>5.6000000000000001E-2</v>
      </c>
      <c r="X13">
        <v>80</v>
      </c>
      <c r="Y13">
        <v>65.2</v>
      </c>
      <c r="Z13">
        <v>14.809472529860995</v>
      </c>
      <c r="AA13">
        <v>88.580207273338019</v>
      </c>
      <c r="AB13">
        <v>152.87643624220752</v>
      </c>
      <c r="AC13">
        <v>2.5423039940623755</v>
      </c>
      <c r="AD13">
        <v>0.29980000000000001</v>
      </c>
      <c r="AE13">
        <v>1.7931999999999999</v>
      </c>
      <c r="AF13">
        <v>3.0948000000000002</v>
      </c>
      <c r="AG13">
        <v>0.29618945059721991</v>
      </c>
      <c r="AH13">
        <v>1.7716041454667601</v>
      </c>
      <c r="AI13">
        <v>3.0575287248441501</v>
      </c>
      <c r="AJ13">
        <v>2.5</v>
      </c>
      <c r="AK13">
        <v>0.25778139737634054</v>
      </c>
      <c r="AL13">
        <v>2.6952670118359285</v>
      </c>
      <c r="AM13">
        <v>4.483908438448716</v>
      </c>
      <c r="AN13">
        <v>5.0296299888427303</v>
      </c>
      <c r="AO13">
        <v>0.02</v>
      </c>
      <c r="AP13">
        <v>1.9999999999999997E-2</v>
      </c>
      <c r="AQ13">
        <v>1.9999999999999997E-2</v>
      </c>
      <c r="AS13">
        <f t="shared" si="0"/>
        <v>1.0254664005271346</v>
      </c>
      <c r="AT13" s="1">
        <v>9.8442442509999993E-4</v>
      </c>
      <c r="AU13">
        <f t="shared" si="1"/>
        <v>2.7565083773791912</v>
      </c>
      <c r="AV13">
        <f t="shared" si="2"/>
        <v>0.1690288187248771</v>
      </c>
      <c r="BK13">
        <f t="shared" si="10"/>
        <v>2.5762331601414035</v>
      </c>
      <c r="BL13">
        <f t="shared" si="3"/>
        <v>0.21859562563281965</v>
      </c>
      <c r="BN13" s="1">
        <f t="shared" si="4"/>
        <v>9.486971465827795E-3</v>
      </c>
      <c r="BO13">
        <f t="shared" si="5"/>
        <v>0.16876237415944922</v>
      </c>
      <c r="BP13">
        <f t="shared" si="6"/>
        <v>-7.1498869248468935E-6</v>
      </c>
      <c r="BQ13">
        <f t="shared" si="7"/>
        <v>1.0702718552558675E-4</v>
      </c>
      <c r="BR13">
        <f t="shared" si="8"/>
        <v>2.6773527104606402E-2</v>
      </c>
      <c r="BS13">
        <f t="shared" si="9"/>
        <v>0.21694979669555678</v>
      </c>
    </row>
    <row r="14" spans="1:71" x14ac:dyDescent="0.2">
      <c r="A14">
        <v>26093</v>
      </c>
      <c r="B14" t="s">
        <v>50</v>
      </c>
      <c r="C14" t="s">
        <v>63</v>
      </c>
      <c r="D14">
        <v>43.667000000000002</v>
      </c>
      <c r="E14">
        <v>-79.400000000000006</v>
      </c>
      <c r="F14">
        <v>75</v>
      </c>
      <c r="G14">
        <v>1009</v>
      </c>
      <c r="H14">
        <v>66.91</v>
      </c>
      <c r="I14">
        <v>11.2</v>
      </c>
      <c r="J14">
        <v>15.8</v>
      </c>
      <c r="K14">
        <v>93.26</v>
      </c>
      <c r="L14">
        <v>156.19999999999999</v>
      </c>
      <c r="M14">
        <v>392.98</v>
      </c>
      <c r="N14">
        <v>1288.28</v>
      </c>
      <c r="O14">
        <v>0.1694</v>
      </c>
      <c r="P14">
        <v>0.59699999999999998</v>
      </c>
      <c r="Q14">
        <v>1E-3</v>
      </c>
      <c r="R14">
        <v>0.02</v>
      </c>
      <c r="S14">
        <v>320.7</v>
      </c>
      <c r="T14">
        <v>251.8</v>
      </c>
      <c r="U14">
        <v>369.3</v>
      </c>
      <c r="V14">
        <v>1.05</v>
      </c>
      <c r="W14">
        <v>4.8000000000000001E-2</v>
      </c>
      <c r="X14">
        <v>80</v>
      </c>
      <c r="Y14">
        <v>65.7</v>
      </c>
      <c r="Z14">
        <v>15.609717543149015</v>
      </c>
      <c r="AA14">
        <v>92.136851776840331</v>
      </c>
      <c r="AB14">
        <v>154.31885317973899</v>
      </c>
      <c r="AC14">
        <v>2.5371595058194152</v>
      </c>
      <c r="AD14">
        <v>0.316</v>
      </c>
      <c r="AE14">
        <v>1.8652000000000002</v>
      </c>
      <c r="AF14">
        <v>3.1239999999999997</v>
      </c>
      <c r="AG14">
        <v>0.31219435086298031</v>
      </c>
      <c r="AH14">
        <v>1.8427370355368067</v>
      </c>
      <c r="AI14">
        <v>3.0863770635947794</v>
      </c>
      <c r="AJ14">
        <v>2.5</v>
      </c>
      <c r="AK14">
        <v>0.25664971202596798</v>
      </c>
      <c r="AL14">
        <v>2.7478936397543432</v>
      </c>
      <c r="AM14">
        <v>4.523274991101597</v>
      </c>
      <c r="AN14">
        <v>5.0390209371270078</v>
      </c>
      <c r="AO14">
        <v>0.02</v>
      </c>
      <c r="AP14">
        <v>0.02</v>
      </c>
      <c r="AQ14">
        <v>1.9999999999999997E-2</v>
      </c>
      <c r="AS14">
        <f t="shared" si="0"/>
        <v>1.0254664005271346</v>
      </c>
      <c r="AT14" s="1">
        <v>9.8442442509999993E-4</v>
      </c>
      <c r="AU14">
        <f t="shared" si="1"/>
        <v>2.7497769507897374</v>
      </c>
      <c r="AV14">
        <f t="shared" si="2"/>
        <v>0.16807420801461001</v>
      </c>
      <c r="BK14">
        <f t="shared" si="10"/>
        <v>2.5708373068522121</v>
      </c>
      <c r="BL14">
        <f t="shared" si="3"/>
        <v>0.21763184833993227</v>
      </c>
      <c r="BN14" s="1">
        <f t="shared" si="4"/>
        <v>9.414140277170786E-3</v>
      </c>
      <c r="BO14">
        <f t="shared" si="5"/>
        <v>0.167810349390555</v>
      </c>
      <c r="BP14">
        <f t="shared" si="6"/>
        <v>-7.0969168149059127E-6</v>
      </c>
      <c r="BQ14">
        <f t="shared" si="7"/>
        <v>1.0623427203708628E-4</v>
      </c>
      <c r="BR14">
        <f t="shared" si="8"/>
        <v>2.6622320370047817E-2</v>
      </c>
      <c r="BS14">
        <f t="shared" si="9"/>
        <v>0.21599736603459549</v>
      </c>
    </row>
    <row r="15" spans="1:71" x14ac:dyDescent="0.2">
      <c r="A15">
        <v>26093</v>
      </c>
      <c r="B15" t="s">
        <v>50</v>
      </c>
      <c r="C15" t="s">
        <v>64</v>
      </c>
      <c r="D15">
        <v>43.667000000000002</v>
      </c>
      <c r="E15">
        <v>-79.400000000000006</v>
      </c>
      <c r="F15">
        <v>75</v>
      </c>
      <c r="G15">
        <v>1009</v>
      </c>
      <c r="H15">
        <v>66.88</v>
      </c>
      <c r="I15">
        <v>11.2</v>
      </c>
      <c r="J15">
        <v>15.53</v>
      </c>
      <c r="K15">
        <v>90.86</v>
      </c>
      <c r="L15">
        <v>154.93</v>
      </c>
      <c r="M15">
        <v>379.12</v>
      </c>
      <c r="N15">
        <v>1251.95</v>
      </c>
      <c r="O15">
        <v>0.1709</v>
      </c>
      <c r="P15">
        <v>0.58630000000000004</v>
      </c>
      <c r="Q15">
        <v>1E-3</v>
      </c>
      <c r="R15">
        <v>2.1999999999999999E-2</v>
      </c>
      <c r="S15">
        <v>320</v>
      </c>
      <c r="T15">
        <v>258.60000000000002</v>
      </c>
      <c r="U15">
        <v>363.2</v>
      </c>
      <c r="V15">
        <v>1.05</v>
      </c>
      <c r="W15">
        <v>0.06</v>
      </c>
      <c r="X15">
        <v>80</v>
      </c>
      <c r="Y15">
        <v>65.900000000000006</v>
      </c>
      <c r="Z15">
        <v>15.342969205386341</v>
      </c>
      <c r="AA15">
        <v>89.765755441172118</v>
      </c>
      <c r="AB15">
        <v>153.06414803544791</v>
      </c>
      <c r="AC15">
        <v>2.5340836528283979</v>
      </c>
      <c r="AD15">
        <v>0.31059999999999999</v>
      </c>
      <c r="AE15">
        <v>1.8171999999999999</v>
      </c>
      <c r="AF15">
        <v>3.0986000000000002</v>
      </c>
      <c r="AG15">
        <v>0.30685938410772684</v>
      </c>
      <c r="AH15">
        <v>1.7953151088234423</v>
      </c>
      <c r="AI15">
        <v>3.0612829607089584</v>
      </c>
      <c r="AJ15">
        <v>2.5</v>
      </c>
      <c r="AK15">
        <v>0.25597413798129626</v>
      </c>
      <c r="AL15">
        <v>2.7306573368820177</v>
      </c>
      <c r="AM15">
        <v>4.4972035600526796</v>
      </c>
      <c r="AN15">
        <v>5.0308571017296231</v>
      </c>
      <c r="AO15">
        <v>0.02</v>
      </c>
      <c r="AP15">
        <v>0.02</v>
      </c>
      <c r="AQ15">
        <v>0.02</v>
      </c>
      <c r="AS15">
        <f t="shared" si="0"/>
        <v>1.0254664005271346</v>
      </c>
      <c r="AT15" s="1">
        <v>9.8442442509999993E-4</v>
      </c>
      <c r="AU15">
        <f t="shared" si="1"/>
        <v>2.7457563149828514</v>
      </c>
      <c r="AV15">
        <f t="shared" si="2"/>
        <v>0.16750545407833481</v>
      </c>
      <c r="BK15">
        <f t="shared" si="10"/>
        <v>2.5676118038280262</v>
      </c>
      <c r="BL15">
        <f t="shared" si="3"/>
        <v>0.21705653317376794</v>
      </c>
      <c r="BN15" s="1">
        <f t="shared" si="4"/>
        <v>9.3708119057686889E-3</v>
      </c>
      <c r="BO15">
        <f t="shared" si="5"/>
        <v>0.16724313148890699</v>
      </c>
      <c r="BP15">
        <f t="shared" si="6"/>
        <v>-7.0653810909519896E-6</v>
      </c>
      <c r="BQ15">
        <f t="shared" si="7"/>
        <v>1.0576221145574047E-4</v>
      </c>
      <c r="BR15">
        <f t="shared" si="8"/>
        <v>2.653223189257049E-2</v>
      </c>
      <c r="BS15">
        <f t="shared" si="9"/>
        <v>0.21542880036951631</v>
      </c>
    </row>
    <row r="16" spans="1:71" x14ac:dyDescent="0.2">
      <c r="A16">
        <v>26093</v>
      </c>
      <c r="B16" t="s">
        <v>50</v>
      </c>
      <c r="C16" t="s">
        <v>65</v>
      </c>
      <c r="D16">
        <v>43.667000000000002</v>
      </c>
      <c r="E16">
        <v>-79.400000000000006</v>
      </c>
      <c r="F16">
        <v>75</v>
      </c>
      <c r="G16">
        <v>1009</v>
      </c>
      <c r="H16">
        <v>66.83</v>
      </c>
      <c r="I16">
        <v>11.3</v>
      </c>
      <c r="J16">
        <v>16.66</v>
      </c>
      <c r="K16">
        <v>96.32</v>
      </c>
      <c r="L16">
        <v>155.22999999999999</v>
      </c>
      <c r="M16">
        <v>403.68</v>
      </c>
      <c r="N16">
        <v>1220.1300000000001</v>
      </c>
      <c r="O16">
        <v>0.1729</v>
      </c>
      <c r="P16">
        <v>0.62050000000000005</v>
      </c>
      <c r="Q16">
        <v>1E-3</v>
      </c>
      <c r="R16">
        <v>2E-3</v>
      </c>
      <c r="S16">
        <v>318.89999999999998</v>
      </c>
      <c r="T16">
        <v>239.4</v>
      </c>
      <c r="U16">
        <v>374.9</v>
      </c>
      <c r="V16">
        <v>0.94</v>
      </c>
      <c r="W16">
        <v>7.0000000000000007E-2</v>
      </c>
      <c r="X16">
        <v>80</v>
      </c>
      <c r="Y16">
        <v>65.3</v>
      </c>
      <c r="Z16">
        <v>16.459360396763454</v>
      </c>
      <c r="AA16">
        <v>95.159999604817273</v>
      </c>
      <c r="AB16">
        <v>153.36053507740641</v>
      </c>
      <c r="AC16">
        <v>2.5289751988153513</v>
      </c>
      <c r="AD16">
        <v>0.3332</v>
      </c>
      <c r="AE16">
        <v>1.9263999999999999</v>
      </c>
      <c r="AF16">
        <v>3.1046</v>
      </c>
      <c r="AG16">
        <v>0.32918720793526907</v>
      </c>
      <c r="AH16">
        <v>1.9031999920963456</v>
      </c>
      <c r="AI16">
        <v>3.0672107015481287</v>
      </c>
      <c r="AJ16">
        <v>2.5</v>
      </c>
      <c r="AK16">
        <v>0.25485386817520156</v>
      </c>
      <c r="AL16">
        <v>2.8008943364601189</v>
      </c>
      <c r="AM16">
        <v>4.5555596812819328</v>
      </c>
      <c r="AN16">
        <v>5.0327915877597738</v>
      </c>
      <c r="AO16">
        <v>0.02</v>
      </c>
      <c r="AP16">
        <v>0.02</v>
      </c>
      <c r="AQ16">
        <v>2.0000000000000004E-2</v>
      </c>
      <c r="AS16">
        <f t="shared" si="0"/>
        <v>1.0254664005271346</v>
      </c>
      <c r="AT16" s="1">
        <v>9.8442442509999993E-4</v>
      </c>
      <c r="AU16">
        <f t="shared" si="1"/>
        <v>2.7390853925007916</v>
      </c>
      <c r="AV16">
        <f t="shared" si="2"/>
        <v>0.16656414774420189</v>
      </c>
      <c r="BK16">
        <f t="shared" si="10"/>
        <v>2.5622558607050108</v>
      </c>
      <c r="BL16">
        <f t="shared" si="3"/>
        <v>0.21610255693346753</v>
      </c>
      <c r="BN16" s="1">
        <f t="shared" si="4"/>
        <v>9.2992078840479775E-3</v>
      </c>
      <c r="BO16">
        <f t="shared" si="5"/>
        <v>0.1663043596737066</v>
      </c>
      <c r="BP16">
        <f t="shared" si="6"/>
        <v>-7.0132277563465071E-6</v>
      </c>
      <c r="BQ16">
        <f t="shared" si="7"/>
        <v>1.0498152433757061E-4</v>
      </c>
      <c r="BR16">
        <f t="shared" si="8"/>
        <v>2.6383132520991337E-2</v>
      </c>
      <c r="BS16">
        <f t="shared" si="9"/>
        <v>0.21448597707369255</v>
      </c>
    </row>
    <row r="17" spans="1:71" x14ac:dyDescent="0.2">
      <c r="A17">
        <v>26093</v>
      </c>
      <c r="B17" t="s">
        <v>50</v>
      </c>
      <c r="C17" t="s">
        <v>66</v>
      </c>
      <c r="D17">
        <v>43.667000000000002</v>
      </c>
      <c r="E17">
        <v>-79.400000000000006</v>
      </c>
      <c r="F17">
        <v>75</v>
      </c>
      <c r="G17">
        <v>1008</v>
      </c>
      <c r="H17">
        <v>65.95</v>
      </c>
      <c r="I17">
        <v>11.1</v>
      </c>
      <c r="J17">
        <v>19.48</v>
      </c>
      <c r="K17">
        <v>107.34</v>
      </c>
      <c r="L17">
        <v>172.81</v>
      </c>
      <c r="M17">
        <v>400.07</v>
      </c>
      <c r="N17">
        <v>1303.18</v>
      </c>
      <c r="O17">
        <v>0.18149999999999999</v>
      </c>
      <c r="P17">
        <v>0.62109999999999999</v>
      </c>
      <c r="Q17">
        <v>0.01</v>
      </c>
      <c r="R17">
        <v>1.0999999999999999E-2</v>
      </c>
      <c r="S17">
        <v>324</v>
      </c>
      <c r="T17">
        <v>250.4</v>
      </c>
      <c r="U17">
        <v>375.9</v>
      </c>
      <c r="V17">
        <v>1.08</v>
      </c>
      <c r="W17">
        <v>4.5999999999999999E-2</v>
      </c>
      <c r="X17">
        <v>80</v>
      </c>
      <c r="Y17">
        <v>65.400000000000006</v>
      </c>
      <c r="Z17">
        <v>19.245398591173597</v>
      </c>
      <c r="AA17">
        <v>106.04728361276047</v>
      </c>
      <c r="AB17">
        <v>170.72881573617602</v>
      </c>
      <c r="AC17">
        <v>2.4425991998212058</v>
      </c>
      <c r="AD17">
        <v>0.3896</v>
      </c>
      <c r="AE17">
        <v>2.1468000000000003</v>
      </c>
      <c r="AF17">
        <v>3.4561999999999999</v>
      </c>
      <c r="AG17">
        <v>0.38490797182347192</v>
      </c>
      <c r="AH17">
        <v>2.1209456722552096</v>
      </c>
      <c r="AI17">
        <v>3.4145763147235204</v>
      </c>
      <c r="AJ17">
        <v>2.5</v>
      </c>
      <c r="AK17">
        <v>0.23624087616783437</v>
      </c>
      <c r="AL17">
        <v>2.9572719979358113</v>
      </c>
      <c r="AM17">
        <v>4.6638850664701055</v>
      </c>
      <c r="AN17">
        <v>5.1400764247873223</v>
      </c>
      <c r="AO17">
        <v>0.02</v>
      </c>
      <c r="AP17">
        <v>2.0000000000000004E-2</v>
      </c>
      <c r="AQ17">
        <v>0.02</v>
      </c>
      <c r="AS17">
        <f t="shared" si="0"/>
        <v>1.0254664005271346</v>
      </c>
      <c r="AT17" s="1">
        <v>9.8442442509999993E-4</v>
      </c>
      <c r="AU17">
        <f t="shared" si="1"/>
        <v>2.6275163855674779</v>
      </c>
      <c r="AV17">
        <f t="shared" si="2"/>
        <v>0.15125224334210879</v>
      </c>
      <c r="BK17">
        <f t="shared" si="10"/>
        <v>2.4718893843118388</v>
      </c>
      <c r="BL17">
        <f t="shared" si="3"/>
        <v>0.20025947834414368</v>
      </c>
      <c r="BN17" s="1">
        <f t="shared" si="4"/>
        <v>8.1536095322134201E-3</v>
      </c>
      <c r="BO17">
        <f t="shared" si="5"/>
        <v>0.15103231365378963</v>
      </c>
      <c r="BP17">
        <f t="shared" si="6"/>
        <v>-6.1723151882997148E-6</v>
      </c>
      <c r="BQ17">
        <f t="shared" si="7"/>
        <v>9.2393841989983156E-5</v>
      </c>
      <c r="BR17">
        <f t="shared" si="8"/>
        <v>2.3957784638747363E-2</v>
      </c>
      <c r="BS17">
        <f t="shared" si="9"/>
        <v>0.19882121276954437</v>
      </c>
    </row>
    <row r="18" spans="1:71" x14ac:dyDescent="0.2">
      <c r="A18">
        <v>26093</v>
      </c>
      <c r="B18" t="s">
        <v>50</v>
      </c>
      <c r="C18" t="s">
        <v>67</v>
      </c>
      <c r="D18">
        <v>43.667000000000002</v>
      </c>
      <c r="E18">
        <v>-79.400000000000006</v>
      </c>
      <c r="F18">
        <v>75</v>
      </c>
      <c r="G18">
        <v>1009</v>
      </c>
      <c r="H18">
        <v>65.89</v>
      </c>
      <c r="I18">
        <v>11.1</v>
      </c>
      <c r="J18">
        <v>20.05</v>
      </c>
      <c r="K18">
        <v>106.53</v>
      </c>
      <c r="L18">
        <v>170.77</v>
      </c>
      <c r="M18">
        <v>389.2</v>
      </c>
      <c r="N18">
        <v>1280.3699999999999</v>
      </c>
      <c r="O18">
        <v>0.18809999999999999</v>
      </c>
      <c r="P18">
        <v>0.62380000000000002</v>
      </c>
      <c r="Q18">
        <v>3.5000000000000003E-2</v>
      </c>
      <c r="R18">
        <v>1.6E-2</v>
      </c>
      <c r="S18">
        <v>319.3</v>
      </c>
      <c r="T18">
        <v>249.5</v>
      </c>
      <c r="U18">
        <v>368.6</v>
      </c>
      <c r="V18">
        <v>1.1000000000000001</v>
      </c>
      <c r="W18">
        <v>5.2999999999999999E-2</v>
      </c>
      <c r="X18">
        <v>80</v>
      </c>
      <c r="Y18">
        <v>65.8</v>
      </c>
      <c r="Z18">
        <v>19.808533970894796</v>
      </c>
      <c r="AA18">
        <v>105.24703859947245</v>
      </c>
      <c r="AB18">
        <v>168.71338385085807</v>
      </c>
      <c r="AC18">
        <v>2.436943619356164</v>
      </c>
      <c r="AD18">
        <v>0.40100000000000002</v>
      </c>
      <c r="AE18">
        <v>2.1306000000000003</v>
      </c>
      <c r="AF18">
        <v>3.4154000000000004</v>
      </c>
      <c r="AG18">
        <v>0.39617067941789591</v>
      </c>
      <c r="AH18">
        <v>2.1049407719894488</v>
      </c>
      <c r="AI18">
        <v>3.3742676770171616</v>
      </c>
      <c r="AJ18">
        <v>2.5</v>
      </c>
      <c r="AK18">
        <v>0.23504384091836436</v>
      </c>
      <c r="AL18">
        <v>2.9861128534740007</v>
      </c>
      <c r="AM18">
        <v>4.6563103353445285</v>
      </c>
      <c r="AN18">
        <v>5.12820132162057</v>
      </c>
      <c r="AO18">
        <v>0.02</v>
      </c>
      <c r="AP18">
        <v>0.02</v>
      </c>
      <c r="AQ18">
        <v>0.02</v>
      </c>
      <c r="AS18">
        <f t="shared" si="0"/>
        <v>1.0254664005271346</v>
      </c>
      <c r="AT18" s="1">
        <v>9.8442442509999993E-4</v>
      </c>
      <c r="AU18">
        <f t="shared" si="1"/>
        <v>2.6202899500652017</v>
      </c>
      <c r="AV18">
        <f t="shared" si="2"/>
        <v>0.15028825253158068</v>
      </c>
      <c r="BK18">
        <f t="shared" si="10"/>
        <v>2.4659849863360668</v>
      </c>
      <c r="BL18">
        <f t="shared" si="3"/>
        <v>0.19924101921768739</v>
      </c>
      <c r="BN18" s="1">
        <f t="shared" si="4"/>
        <v>8.0827364124385296E-3</v>
      </c>
      <c r="BO18">
        <f t="shared" si="5"/>
        <v>0.15007074405453985</v>
      </c>
      <c r="BP18">
        <f t="shared" si="6"/>
        <v>-6.1198819200460931E-6</v>
      </c>
      <c r="BQ18">
        <f t="shared" si="7"/>
        <v>9.1608964524356198E-5</v>
      </c>
      <c r="BR18">
        <f t="shared" si="8"/>
        <v>2.3805092131700529E-2</v>
      </c>
      <c r="BS18">
        <f t="shared" si="9"/>
        <v>0.19781378338692374</v>
      </c>
    </row>
    <row r="19" spans="1:71" x14ac:dyDescent="0.2">
      <c r="A19">
        <v>26093</v>
      </c>
      <c r="B19" t="s">
        <v>50</v>
      </c>
      <c r="C19" t="s">
        <v>68</v>
      </c>
      <c r="D19">
        <v>43.667000000000002</v>
      </c>
      <c r="E19">
        <v>-79.400000000000006</v>
      </c>
      <c r="F19">
        <v>75</v>
      </c>
      <c r="G19">
        <v>1008</v>
      </c>
      <c r="H19">
        <v>65.819999999999993</v>
      </c>
      <c r="I19">
        <v>11.1</v>
      </c>
      <c r="J19">
        <v>19.899999999999999</v>
      </c>
      <c r="K19">
        <v>106.25</v>
      </c>
      <c r="L19">
        <v>173.18</v>
      </c>
      <c r="M19">
        <v>387.84</v>
      </c>
      <c r="N19">
        <v>1272.4100000000001</v>
      </c>
      <c r="O19">
        <v>0.18729999999999999</v>
      </c>
      <c r="P19">
        <v>0.61339999999999995</v>
      </c>
      <c r="Q19">
        <v>2.9000000000000001E-2</v>
      </c>
      <c r="R19">
        <v>1.0999999999999999E-2</v>
      </c>
      <c r="S19">
        <v>321</v>
      </c>
      <c r="T19">
        <v>256.60000000000002</v>
      </c>
      <c r="U19">
        <v>366.5</v>
      </c>
      <c r="V19">
        <v>1.0900000000000001</v>
      </c>
      <c r="W19">
        <v>5.6000000000000001E-2</v>
      </c>
      <c r="X19">
        <v>80</v>
      </c>
      <c r="Y19">
        <v>65.099999999999994</v>
      </c>
      <c r="Z19">
        <v>19.66034044991553</v>
      </c>
      <c r="AA19">
        <v>104.97041069364448</v>
      </c>
      <c r="AB19">
        <v>171.09435975459155</v>
      </c>
      <c r="AC19">
        <v>2.4303816083571577</v>
      </c>
      <c r="AD19">
        <v>0.39799999999999996</v>
      </c>
      <c r="AE19">
        <v>2.125</v>
      </c>
      <c r="AF19">
        <v>3.4636</v>
      </c>
      <c r="AG19">
        <v>0.39320680899831056</v>
      </c>
      <c r="AH19">
        <v>2.0994082138728896</v>
      </c>
      <c r="AI19">
        <v>3.421887195091831</v>
      </c>
      <c r="AJ19">
        <v>2.5</v>
      </c>
      <c r="AK19">
        <v>0.2336582932661786</v>
      </c>
      <c r="AL19">
        <v>2.978603431451869</v>
      </c>
      <c r="AM19">
        <v>4.6536785075259486</v>
      </c>
      <c r="AN19">
        <v>5.1422152157410776</v>
      </c>
      <c r="AO19">
        <v>1.9999999999999997E-2</v>
      </c>
      <c r="AP19">
        <v>0.02</v>
      </c>
      <c r="AQ19">
        <v>0.02</v>
      </c>
      <c r="AS19">
        <f t="shared" si="0"/>
        <v>1.0254664005271346</v>
      </c>
      <c r="AT19" s="1">
        <v>9.8442442509999993E-4</v>
      </c>
      <c r="AU19">
        <f t="shared" si="1"/>
        <v>2.6119171263231609</v>
      </c>
      <c r="AV19">
        <f t="shared" si="2"/>
        <v>0.14917551903068699</v>
      </c>
      <c r="BK19">
        <f t="shared" si="10"/>
        <v>2.4591361494311421</v>
      </c>
      <c r="BL19">
        <f t="shared" si="3"/>
        <v>0.1980622344656551</v>
      </c>
      <c r="BN19" s="1">
        <f t="shared" si="4"/>
        <v>8.0011183955214851E-3</v>
      </c>
      <c r="BO19">
        <f t="shared" si="5"/>
        <v>0.14896079209810784</v>
      </c>
      <c r="BP19">
        <f t="shared" si="6"/>
        <v>-6.0594391496681434E-6</v>
      </c>
      <c r="BQ19">
        <f t="shared" si="7"/>
        <v>9.0704192229784571E-5</v>
      </c>
      <c r="BR19">
        <f t="shared" si="8"/>
        <v>2.362883934373736E-2</v>
      </c>
      <c r="BS19">
        <f t="shared" si="9"/>
        <v>0.19664770125488043</v>
      </c>
    </row>
    <row r="20" spans="1:71" x14ac:dyDescent="0.2">
      <c r="A20">
        <v>26093</v>
      </c>
      <c r="B20" t="s">
        <v>50</v>
      </c>
      <c r="C20" t="s">
        <v>69</v>
      </c>
      <c r="D20">
        <v>43.667000000000002</v>
      </c>
      <c r="E20">
        <v>-79.400000000000006</v>
      </c>
      <c r="F20">
        <v>75</v>
      </c>
      <c r="G20">
        <v>1009</v>
      </c>
      <c r="H20">
        <v>64.069999999999993</v>
      </c>
      <c r="I20">
        <v>13.3</v>
      </c>
      <c r="J20">
        <v>28.79</v>
      </c>
      <c r="K20">
        <v>137.41999999999999</v>
      </c>
      <c r="L20">
        <v>206.73</v>
      </c>
      <c r="M20">
        <v>411.22</v>
      </c>
      <c r="N20">
        <v>1296.5</v>
      </c>
      <c r="O20">
        <v>0.20949999999999999</v>
      </c>
      <c r="P20">
        <v>0.66469999999999996</v>
      </c>
      <c r="Q20">
        <v>8.9999999999999993E-3</v>
      </c>
      <c r="R20">
        <v>0.01</v>
      </c>
      <c r="S20">
        <v>326.2</v>
      </c>
      <c r="T20">
        <v>247.6</v>
      </c>
      <c r="U20">
        <v>381.6</v>
      </c>
      <c r="V20">
        <v>1.1200000000000001</v>
      </c>
      <c r="W20">
        <v>5.1999999999999998E-2</v>
      </c>
      <c r="X20">
        <v>80</v>
      </c>
      <c r="Y20">
        <v>63.4</v>
      </c>
      <c r="Z20">
        <v>28.443276459953172</v>
      </c>
      <c r="AA20">
        <v>135.76502435313529</v>
      </c>
      <c r="AB20">
        <v>204.24031061361998</v>
      </c>
      <c r="AC20">
        <v>2.2780909473181739</v>
      </c>
      <c r="AD20">
        <v>0.57579999999999998</v>
      </c>
      <c r="AE20">
        <v>2.7483999999999997</v>
      </c>
      <c r="AF20">
        <v>4.1345999999999998</v>
      </c>
      <c r="AG20">
        <v>0.56886552919906341</v>
      </c>
      <c r="AH20">
        <v>2.7153004870627058</v>
      </c>
      <c r="AI20">
        <v>4.0848062122723992</v>
      </c>
      <c r="AJ20">
        <v>2.5</v>
      </c>
      <c r="AK20">
        <v>0.202509812399052</v>
      </c>
      <c r="AL20">
        <v>3.3479118043455065</v>
      </c>
      <c r="AM20">
        <v>4.9109256293243524</v>
      </c>
      <c r="AN20">
        <v>5.3192972937586482</v>
      </c>
      <c r="AO20">
        <v>0.02</v>
      </c>
      <c r="AP20">
        <v>0.02</v>
      </c>
      <c r="AQ20">
        <v>1.9999999999999997E-2</v>
      </c>
      <c r="AS20">
        <f t="shared" si="0"/>
        <v>1.0254664005271346</v>
      </c>
      <c r="AT20" s="1">
        <v>9.8442442509999993E-4</v>
      </c>
      <c r="AU20">
        <f t="shared" si="1"/>
        <v>2.4210136397749142</v>
      </c>
      <c r="AV20">
        <f t="shared" si="2"/>
        <v>0.12500302296162902</v>
      </c>
      <c r="BK20">
        <f t="shared" si="10"/>
        <v>2.3007293625258325</v>
      </c>
      <c r="BL20">
        <f t="shared" si="3"/>
        <v>0.17157931248251226</v>
      </c>
      <c r="BN20" s="1">
        <f t="shared" si="4"/>
        <v>6.2814899028784607E-3</v>
      </c>
      <c r="BO20">
        <f t="shared" si="5"/>
        <v>0.12484509855875635</v>
      </c>
      <c r="BP20">
        <f t="shared" si="6"/>
        <v>-4.7705890712281284E-6</v>
      </c>
      <c r="BQ20">
        <f t="shared" si="7"/>
        <v>7.1411300200891365E-5</v>
      </c>
      <c r="BR20">
        <f t="shared" si="8"/>
        <v>1.9800007174328931E-2</v>
      </c>
      <c r="BS20">
        <f t="shared" si="9"/>
        <v>0.17043302222731307</v>
      </c>
    </row>
    <row r="21" spans="1:71" x14ac:dyDescent="0.2">
      <c r="A21">
        <v>26093</v>
      </c>
      <c r="B21" t="s">
        <v>50</v>
      </c>
      <c r="C21" t="s">
        <v>70</v>
      </c>
      <c r="D21">
        <v>43.667000000000002</v>
      </c>
      <c r="E21">
        <v>-79.400000000000006</v>
      </c>
      <c r="F21">
        <v>75</v>
      </c>
      <c r="G21">
        <v>1009</v>
      </c>
      <c r="H21">
        <v>64.02</v>
      </c>
      <c r="I21">
        <v>13.4</v>
      </c>
      <c r="J21">
        <v>30.21</v>
      </c>
      <c r="K21">
        <v>141.57</v>
      </c>
      <c r="L21">
        <v>209.59</v>
      </c>
      <c r="M21">
        <v>431.01</v>
      </c>
      <c r="N21">
        <v>1331.78</v>
      </c>
      <c r="O21">
        <v>0.2135</v>
      </c>
      <c r="P21">
        <v>0.67549999999999999</v>
      </c>
      <c r="Q21">
        <v>3.1E-2</v>
      </c>
      <c r="R21">
        <v>1.0999999999999999E-2</v>
      </c>
      <c r="S21">
        <v>323.8</v>
      </c>
      <c r="T21">
        <v>242</v>
      </c>
      <c r="U21">
        <v>381.6</v>
      </c>
      <c r="V21">
        <v>1.1000000000000001</v>
      </c>
      <c r="W21">
        <v>0.04</v>
      </c>
      <c r="X21">
        <v>80</v>
      </c>
      <c r="Y21">
        <v>63.6</v>
      </c>
      <c r="Z21">
        <v>29.846175125223528</v>
      </c>
      <c r="AA21">
        <v>139.86504510022823</v>
      </c>
      <c r="AB21">
        <v>207.06586708029127</v>
      </c>
      <c r="AC21">
        <v>2.27404866201501</v>
      </c>
      <c r="AD21">
        <v>0.60420000000000007</v>
      </c>
      <c r="AE21">
        <v>2.8313999999999999</v>
      </c>
      <c r="AF21">
        <v>4.1917999999999997</v>
      </c>
      <c r="AG21">
        <v>0.59692350250447057</v>
      </c>
      <c r="AH21">
        <v>2.7973009020045643</v>
      </c>
      <c r="AI21">
        <v>4.1413173416058253</v>
      </c>
      <c r="AJ21">
        <v>2.5</v>
      </c>
      <c r="AK21">
        <v>0.2017093293107714</v>
      </c>
      <c r="AL21">
        <v>3.3960566951200026</v>
      </c>
      <c r="AM21">
        <v>4.940677994127828</v>
      </c>
      <c r="AN21">
        <v>5.3330369411064904</v>
      </c>
      <c r="AO21">
        <v>0.02</v>
      </c>
      <c r="AP21">
        <v>1.9999999999999997E-2</v>
      </c>
      <c r="AQ21">
        <v>0.02</v>
      </c>
      <c r="AS21">
        <f t="shared" si="0"/>
        <v>1.0254664005271346</v>
      </c>
      <c r="AT21" s="1">
        <v>9.8442442509999993E-4</v>
      </c>
      <c r="AU21">
        <f t="shared" si="1"/>
        <v>2.4160318355564065</v>
      </c>
      <c r="AV21">
        <f t="shared" si="2"/>
        <v>0.12440244800575877</v>
      </c>
      <c r="BK21">
        <f t="shared" si="10"/>
        <v>2.2965382609714817</v>
      </c>
      <c r="BL21">
        <f t="shared" si="3"/>
        <v>0.17089914658945013</v>
      </c>
      <c r="BN21" s="1">
        <f t="shared" si="4"/>
        <v>6.2401414745966227E-3</v>
      </c>
      <c r="BO21">
        <f t="shared" si="5"/>
        <v>0.12424584381057795</v>
      </c>
      <c r="BP21">
        <f t="shared" si="6"/>
        <v>-4.7392290499977143E-6</v>
      </c>
      <c r="BQ21">
        <f t="shared" si="7"/>
        <v>7.0941869726592527E-5</v>
      </c>
      <c r="BR21">
        <f t="shared" si="8"/>
        <v>1.9704878367415166E-2</v>
      </c>
      <c r="BS21">
        <f t="shared" si="9"/>
        <v>0.16975933263982446</v>
      </c>
    </row>
    <row r="22" spans="1:71" x14ac:dyDescent="0.2">
      <c r="A22">
        <v>26093</v>
      </c>
      <c r="B22" t="s">
        <v>50</v>
      </c>
      <c r="C22" t="s">
        <v>71</v>
      </c>
      <c r="D22">
        <v>43.667000000000002</v>
      </c>
      <c r="E22">
        <v>-79.400000000000006</v>
      </c>
      <c r="F22">
        <v>75</v>
      </c>
      <c r="G22">
        <v>1009</v>
      </c>
      <c r="H22">
        <v>63.96</v>
      </c>
      <c r="I22">
        <v>13.5</v>
      </c>
      <c r="J22">
        <v>29.33</v>
      </c>
      <c r="K22">
        <v>139.37</v>
      </c>
      <c r="L22">
        <v>208.58</v>
      </c>
      <c r="M22">
        <v>408.84</v>
      </c>
      <c r="N22">
        <v>1293.8399999999999</v>
      </c>
      <c r="O22">
        <v>0.2104</v>
      </c>
      <c r="P22">
        <v>0.66820000000000002</v>
      </c>
      <c r="Q22">
        <v>6.0000000000000001E-3</v>
      </c>
      <c r="R22">
        <v>1.2999999999999999E-2</v>
      </c>
      <c r="S22">
        <v>326.89999999999998</v>
      </c>
      <c r="T22">
        <v>246.9</v>
      </c>
      <c r="U22">
        <v>383.4</v>
      </c>
      <c r="V22">
        <v>1.1200000000000001</v>
      </c>
      <c r="W22">
        <v>5.2999999999999999E-2</v>
      </c>
      <c r="X22">
        <v>80</v>
      </c>
      <c r="Y22">
        <v>63.2</v>
      </c>
      <c r="Z22">
        <v>28.976773135478517</v>
      </c>
      <c r="AA22">
        <v>137.69154012586571</v>
      </c>
      <c r="AB22">
        <v>206.06803070569757</v>
      </c>
      <c r="AC22">
        <v>2.2692189862214063</v>
      </c>
      <c r="AD22">
        <v>0.58660000000000001</v>
      </c>
      <c r="AE22">
        <v>2.7874000000000003</v>
      </c>
      <c r="AF22">
        <v>4.1716000000000006</v>
      </c>
      <c r="AG22">
        <v>0.57953546270957035</v>
      </c>
      <c r="AH22">
        <v>2.7538308025173146</v>
      </c>
      <c r="AI22">
        <v>4.1213606141139518</v>
      </c>
      <c r="AJ22">
        <v>2.5</v>
      </c>
      <c r="AK22">
        <v>0.20075470321295172</v>
      </c>
      <c r="AL22">
        <v>3.3664945827107817</v>
      </c>
      <c r="AM22">
        <v>4.9250159668528406</v>
      </c>
      <c r="AN22">
        <v>5.3282063604144891</v>
      </c>
      <c r="AO22">
        <v>0.02</v>
      </c>
      <c r="AP22">
        <v>2.0000000000000004E-2</v>
      </c>
      <c r="AQ22">
        <v>2.0000000000000004E-2</v>
      </c>
      <c r="AS22">
        <f t="shared" si="0"/>
        <v>1.0254664005271346</v>
      </c>
      <c r="AT22" s="1">
        <v>9.8442442509999993E-4</v>
      </c>
      <c r="AU22">
        <f t="shared" si="1"/>
        <v>2.410085180352953</v>
      </c>
      <c r="AV22">
        <f t="shared" si="2"/>
        <v>0.12368753649189845</v>
      </c>
      <c r="BK22">
        <f t="shared" si="10"/>
        <v>2.2915316598539568</v>
      </c>
      <c r="BL22">
        <f t="shared" si="3"/>
        <v>0.17008803236144859</v>
      </c>
      <c r="BN22" s="1">
        <f t="shared" si="4"/>
        <v>6.1910133385559641E-3</v>
      </c>
      <c r="BO22">
        <f t="shared" si="5"/>
        <v>0.12353249789944561</v>
      </c>
      <c r="BP22">
        <f t="shared" si="6"/>
        <v>-4.7019456090421844E-6</v>
      </c>
      <c r="BQ22">
        <f t="shared" si="7"/>
        <v>7.0383771144877521E-5</v>
      </c>
      <c r="BR22">
        <f t="shared" si="8"/>
        <v>1.9591639081131752E-2</v>
      </c>
      <c r="BS22">
        <f t="shared" si="9"/>
        <v>0.16895591571389362</v>
      </c>
    </row>
    <row r="23" spans="1:71" x14ac:dyDescent="0.2">
      <c r="A23">
        <v>26093</v>
      </c>
      <c r="B23" t="s">
        <v>50</v>
      </c>
      <c r="C23" t="s">
        <v>72</v>
      </c>
      <c r="D23">
        <v>43.667000000000002</v>
      </c>
      <c r="E23">
        <v>-79.400000000000006</v>
      </c>
      <c r="F23">
        <v>75</v>
      </c>
      <c r="G23">
        <v>1009</v>
      </c>
      <c r="H23">
        <v>63.88</v>
      </c>
      <c r="I23">
        <v>13.5</v>
      </c>
      <c r="J23">
        <v>30.77</v>
      </c>
      <c r="K23">
        <v>142.36000000000001</v>
      </c>
      <c r="L23">
        <v>210.91</v>
      </c>
      <c r="M23">
        <v>419.81</v>
      </c>
      <c r="N23">
        <v>1309.55</v>
      </c>
      <c r="O23">
        <v>0.21609999999999999</v>
      </c>
      <c r="P23">
        <v>0.67500000000000004</v>
      </c>
      <c r="Q23">
        <v>0.01</v>
      </c>
      <c r="R23">
        <v>8.9999999999999993E-3</v>
      </c>
      <c r="S23">
        <v>323.60000000000002</v>
      </c>
      <c r="T23">
        <v>243.9</v>
      </c>
      <c r="U23">
        <v>379.9</v>
      </c>
      <c r="V23">
        <v>1.1100000000000001</v>
      </c>
      <c r="W23">
        <v>4.8000000000000001E-2</v>
      </c>
      <c r="X23">
        <v>80</v>
      </c>
      <c r="Y23">
        <v>63.3</v>
      </c>
      <c r="Z23">
        <v>30.39943093687944</v>
      </c>
      <c r="AA23">
        <v>140.6455309773857</v>
      </c>
      <c r="AB23">
        <v>208.36997006490878</v>
      </c>
      <c r="AC23">
        <v>2.2628149131615567</v>
      </c>
      <c r="AD23">
        <v>0.61540000000000006</v>
      </c>
      <c r="AE23">
        <v>2.8472000000000004</v>
      </c>
      <c r="AF23">
        <v>4.2182000000000004</v>
      </c>
      <c r="AG23">
        <v>0.60798861873758892</v>
      </c>
      <c r="AH23">
        <v>2.812910619547714</v>
      </c>
      <c r="AI23">
        <v>4.1673994012981757</v>
      </c>
      <c r="AJ23">
        <v>2.5</v>
      </c>
      <c r="AK23">
        <v>0.19949187562916879</v>
      </c>
      <c r="AL23">
        <v>3.4144238890553726</v>
      </c>
      <c r="AM23">
        <v>4.9462427603634147</v>
      </c>
      <c r="AN23">
        <v>5.3393152019189456</v>
      </c>
      <c r="AO23">
        <v>2.0000000000000004E-2</v>
      </c>
      <c r="AP23">
        <v>0.02</v>
      </c>
      <c r="AQ23">
        <v>0.02</v>
      </c>
      <c r="AS23">
        <f t="shared" si="0"/>
        <v>1.0254664005271346</v>
      </c>
      <c r="AT23" s="1">
        <v>9.8442442509999993E-4</v>
      </c>
      <c r="AU23">
        <f t="shared" si="1"/>
        <v>2.4022092862173205</v>
      </c>
      <c r="AV23">
        <f t="shared" si="2"/>
        <v>0.1227440016826276</v>
      </c>
      <c r="BK23">
        <f t="shared" si="10"/>
        <v>2.2848944558891948</v>
      </c>
      <c r="BL23">
        <f t="shared" si="3"/>
        <v>0.16901509295663994</v>
      </c>
      <c r="BN23" s="1">
        <f t="shared" si="4"/>
        <v>6.1263285316885277E-3</v>
      </c>
      <c r="BO23">
        <f t="shared" si="5"/>
        <v>0.12259101944182822</v>
      </c>
      <c r="BP23">
        <f t="shared" si="6"/>
        <v>-4.6528179763462194E-6</v>
      </c>
      <c r="BQ23">
        <f t="shared" si="7"/>
        <v>6.9648375982093652E-5</v>
      </c>
      <c r="BR23">
        <f t="shared" si="8"/>
        <v>1.9442186727499255E-2</v>
      </c>
      <c r="BS23">
        <f t="shared" si="9"/>
        <v>0.16789311525446687</v>
      </c>
    </row>
    <row r="24" spans="1:71" x14ac:dyDescent="0.2">
      <c r="A24">
        <v>26093</v>
      </c>
      <c r="B24" t="s">
        <v>50</v>
      </c>
      <c r="C24" t="s">
        <v>73</v>
      </c>
      <c r="D24">
        <v>43.667000000000002</v>
      </c>
      <c r="E24">
        <v>-79.400000000000006</v>
      </c>
      <c r="F24">
        <v>75</v>
      </c>
      <c r="G24">
        <v>1010</v>
      </c>
      <c r="H24">
        <v>63.82</v>
      </c>
      <c r="I24">
        <v>13.5</v>
      </c>
      <c r="J24">
        <v>29.81</v>
      </c>
      <c r="K24">
        <v>137.97999999999999</v>
      </c>
      <c r="L24">
        <v>208.69</v>
      </c>
      <c r="M24">
        <v>404.64</v>
      </c>
      <c r="N24">
        <v>1268.58</v>
      </c>
      <c r="O24">
        <v>0.21590000000000001</v>
      </c>
      <c r="P24">
        <v>0.66110000000000002</v>
      </c>
      <c r="Q24">
        <v>4.1000000000000002E-2</v>
      </c>
      <c r="R24">
        <v>4.0000000000000001E-3</v>
      </c>
      <c r="S24">
        <v>324.39999999999998</v>
      </c>
      <c r="T24">
        <v>252.5</v>
      </c>
      <c r="U24">
        <v>375.2</v>
      </c>
      <c r="V24">
        <v>1.1100000000000001</v>
      </c>
      <c r="W24">
        <v>6.2E-2</v>
      </c>
      <c r="X24">
        <v>80</v>
      </c>
      <c r="Y24">
        <v>63.6</v>
      </c>
      <c r="Z24">
        <v>29.450992402612158</v>
      </c>
      <c r="AA24">
        <v>136.31828016479119</v>
      </c>
      <c r="AB24">
        <v>206.1767059544157</v>
      </c>
      <c r="AC24">
        <v>2.2580382801943903</v>
      </c>
      <c r="AD24">
        <v>0.59619999999999995</v>
      </c>
      <c r="AE24">
        <v>2.7595999999999998</v>
      </c>
      <c r="AF24">
        <v>4.1738</v>
      </c>
      <c r="AG24">
        <v>0.58901984805224317</v>
      </c>
      <c r="AH24">
        <v>2.7263656032958239</v>
      </c>
      <c r="AI24">
        <v>4.1235341190883137</v>
      </c>
      <c r="AJ24">
        <v>2.5</v>
      </c>
      <c r="AK24">
        <v>0.19855218553605697</v>
      </c>
      <c r="AL24">
        <v>3.3827276074114021</v>
      </c>
      <c r="AM24">
        <v>4.9149924468393849</v>
      </c>
      <c r="AN24">
        <v>5.3287335969881617</v>
      </c>
      <c r="AO24">
        <v>0.02</v>
      </c>
      <c r="AP24">
        <v>0.02</v>
      </c>
      <c r="AQ24">
        <v>0.02</v>
      </c>
      <c r="AS24">
        <f t="shared" si="0"/>
        <v>1.0254664005271346</v>
      </c>
      <c r="AT24" s="1">
        <v>9.8442442509999993E-4</v>
      </c>
      <c r="AU24">
        <f t="shared" si="1"/>
        <v>2.3963417168322687</v>
      </c>
      <c r="AV24">
        <f t="shared" si="2"/>
        <v>0.122043513673286</v>
      </c>
      <c r="BK24">
        <f t="shared" si="10"/>
        <v>2.2799450227097688</v>
      </c>
      <c r="BL24">
        <f t="shared" si="3"/>
        <v>0.16821673364027712</v>
      </c>
      <c r="BN24" s="1">
        <f t="shared" si="4"/>
        <v>6.0784200705800038E-3</v>
      </c>
      <c r="BO24">
        <f t="shared" si="5"/>
        <v>0.12189205076282504</v>
      </c>
      <c r="BP24">
        <f t="shared" si="6"/>
        <v>-4.6164038194120806E-6</v>
      </c>
      <c r="BQ24">
        <f t="shared" si="7"/>
        <v>6.9103289777107101E-5</v>
      </c>
      <c r="BR24">
        <f t="shared" si="8"/>
        <v>1.9331232069908676E-2</v>
      </c>
      <c r="BS24">
        <f t="shared" si="9"/>
        <v>0.16710226852645488</v>
      </c>
    </row>
    <row r="25" spans="1:71" x14ac:dyDescent="0.2">
      <c r="A25">
        <v>26093</v>
      </c>
      <c r="B25" t="s">
        <v>50</v>
      </c>
      <c r="C25" t="s">
        <v>74</v>
      </c>
      <c r="D25">
        <v>43.667000000000002</v>
      </c>
      <c r="E25">
        <v>-79.400000000000006</v>
      </c>
      <c r="F25">
        <v>75</v>
      </c>
      <c r="G25">
        <v>1009</v>
      </c>
      <c r="H25">
        <v>63.72</v>
      </c>
      <c r="I25">
        <v>13.5</v>
      </c>
      <c r="J25">
        <v>31.07</v>
      </c>
      <c r="K25">
        <v>146.06</v>
      </c>
      <c r="L25">
        <v>216.13</v>
      </c>
      <c r="M25">
        <v>436.42</v>
      </c>
      <c r="N25">
        <v>1311.46</v>
      </c>
      <c r="O25">
        <v>0.2127</v>
      </c>
      <c r="P25">
        <v>0.67579999999999996</v>
      </c>
      <c r="Q25">
        <v>4.8000000000000001E-2</v>
      </c>
      <c r="R25">
        <v>1E-3</v>
      </c>
      <c r="S25">
        <v>328.1</v>
      </c>
      <c r="T25">
        <v>245.2</v>
      </c>
      <c r="U25">
        <v>386.6</v>
      </c>
      <c r="V25">
        <v>1.07</v>
      </c>
      <c r="W25">
        <v>4.8000000000000001E-2</v>
      </c>
      <c r="X25">
        <v>80</v>
      </c>
      <c r="Y25">
        <v>62.5</v>
      </c>
      <c r="Z25">
        <v>30.695817978837969</v>
      </c>
      <c r="AA25">
        <v>144.30097116154084</v>
      </c>
      <c r="AB25">
        <v>213.52710459498712</v>
      </c>
      <c r="AC25">
        <v>2.2501271023853047</v>
      </c>
      <c r="AD25">
        <v>0.62140000000000006</v>
      </c>
      <c r="AE25">
        <v>2.9212000000000002</v>
      </c>
      <c r="AF25">
        <v>4.3226000000000004</v>
      </c>
      <c r="AG25">
        <v>0.61391635957675939</v>
      </c>
      <c r="AH25">
        <v>2.8860194232308167</v>
      </c>
      <c r="AI25">
        <v>4.2705420918997428</v>
      </c>
      <c r="AJ25">
        <v>2.5</v>
      </c>
      <c r="AK25">
        <v>0.1970000202617099</v>
      </c>
      <c r="AL25">
        <v>3.4241264231263782</v>
      </c>
      <c r="AM25">
        <v>4.9719011959133859</v>
      </c>
      <c r="AN25">
        <v>5.3637637782172494</v>
      </c>
      <c r="AO25">
        <v>0.02</v>
      </c>
      <c r="AP25">
        <v>0.02</v>
      </c>
      <c r="AQ25">
        <v>0.02</v>
      </c>
      <c r="AS25">
        <f t="shared" si="0"/>
        <v>1.0254664005271346</v>
      </c>
      <c r="AT25" s="1">
        <v>9.8442442509999993E-4</v>
      </c>
      <c r="AU25">
        <f t="shared" si="1"/>
        <v>2.3866365260661824</v>
      </c>
      <c r="AV25">
        <f t="shared" si="2"/>
        <v>0.12088945952015788</v>
      </c>
      <c r="BK25">
        <f t="shared" si="10"/>
        <v>2.2717496800174839</v>
      </c>
      <c r="BL25">
        <f t="shared" si="3"/>
        <v>0.16689807573390397</v>
      </c>
      <c r="BN25" s="1">
        <f t="shared" si="4"/>
        <v>5.9997042857643226E-3</v>
      </c>
      <c r="BO25">
        <f t="shared" si="5"/>
        <v>0.12074048604987174</v>
      </c>
      <c r="BP25">
        <f t="shared" si="6"/>
        <v>-4.5565218058619963E-6</v>
      </c>
      <c r="BQ25">
        <f t="shared" si="7"/>
        <v>6.8206911492913784E-5</v>
      </c>
      <c r="BR25">
        <f t="shared" si="8"/>
        <v>1.9148434246543118E-2</v>
      </c>
      <c r="BS25">
        <f t="shared" si="9"/>
        <v>0.16579596037491715</v>
      </c>
    </row>
    <row r="26" spans="1:71" x14ac:dyDescent="0.2">
      <c r="A26">
        <v>26093</v>
      </c>
      <c r="B26" t="s">
        <v>50</v>
      </c>
      <c r="C26" t="s">
        <v>75</v>
      </c>
      <c r="D26">
        <v>43.667000000000002</v>
      </c>
      <c r="E26">
        <v>-79.400000000000006</v>
      </c>
      <c r="F26">
        <v>75</v>
      </c>
      <c r="G26">
        <v>1009</v>
      </c>
      <c r="H26">
        <v>63.66</v>
      </c>
      <c r="I26">
        <v>13.4</v>
      </c>
      <c r="J26">
        <v>33.11</v>
      </c>
      <c r="K26">
        <v>149.44999999999999</v>
      </c>
      <c r="L26">
        <v>213.38</v>
      </c>
      <c r="M26">
        <v>444.2</v>
      </c>
      <c r="N26">
        <v>1311.47</v>
      </c>
      <c r="O26">
        <v>0.22159999999999999</v>
      </c>
      <c r="P26">
        <v>0.70040000000000002</v>
      </c>
      <c r="Q26">
        <v>1E-3</v>
      </c>
      <c r="R26">
        <v>0</v>
      </c>
      <c r="S26">
        <v>322.2</v>
      </c>
      <c r="T26">
        <v>231.8</v>
      </c>
      <c r="U26">
        <v>386</v>
      </c>
      <c r="V26">
        <v>1.04</v>
      </c>
      <c r="W26">
        <v>4.8000000000000001E-2</v>
      </c>
      <c r="X26">
        <v>80</v>
      </c>
      <c r="Y26">
        <v>62</v>
      </c>
      <c r="Z26">
        <v>32.711249864155938</v>
      </c>
      <c r="AA26">
        <v>147.65014473567214</v>
      </c>
      <c r="AB26">
        <v>210.81022337703396</v>
      </c>
      <c r="AC26">
        <v>2.2454100771604795</v>
      </c>
      <c r="AD26">
        <v>0.66220000000000001</v>
      </c>
      <c r="AE26">
        <v>2.9889999999999999</v>
      </c>
      <c r="AF26">
        <v>4.2675999999999998</v>
      </c>
      <c r="AG26">
        <v>0.65422499728311889</v>
      </c>
      <c r="AH26">
        <v>2.953002894713443</v>
      </c>
      <c r="AI26">
        <v>4.2162044675406793</v>
      </c>
      <c r="AJ26">
        <v>2.5</v>
      </c>
      <c r="AK26">
        <v>0.1960770205621272</v>
      </c>
      <c r="AL26">
        <v>3.4877190512805769</v>
      </c>
      <c r="AM26">
        <v>4.9948455884513692</v>
      </c>
      <c r="AN26">
        <v>5.3509583134847372</v>
      </c>
      <c r="AO26">
        <v>2.0000000000000004E-2</v>
      </c>
      <c r="AP26">
        <v>0.02</v>
      </c>
      <c r="AQ26">
        <v>0.02</v>
      </c>
      <c r="AS26">
        <f t="shared" si="0"/>
        <v>1.0254664005271346</v>
      </c>
      <c r="AT26" s="1">
        <v>9.8442442509999993E-4</v>
      </c>
      <c r="AU26">
        <f t="shared" si="1"/>
        <v>2.3808573988964068</v>
      </c>
      <c r="AV26">
        <f t="shared" si="2"/>
        <v>0.12020496487776755</v>
      </c>
      <c r="BK26">
        <f t="shared" si="10"/>
        <v>2.2668644218521132</v>
      </c>
      <c r="BL26">
        <f t="shared" si="3"/>
        <v>0.1661139668176583</v>
      </c>
      <c r="BN26" s="1">
        <f t="shared" si="4"/>
        <v>5.9531424943144286E-3</v>
      </c>
      <c r="BO26">
        <f t="shared" si="5"/>
        <v>0.12005745989195224</v>
      </c>
      <c r="BP26">
        <f t="shared" si="6"/>
        <v>-4.5210701092558468E-6</v>
      </c>
      <c r="BQ26">
        <f t="shared" si="7"/>
        <v>6.7676232427671856E-5</v>
      </c>
      <c r="BR26">
        <f t="shared" si="8"/>
        <v>1.9040012877931271E-2</v>
      </c>
      <c r="BS26">
        <f t="shared" si="9"/>
        <v>0.16501916034507563</v>
      </c>
    </row>
    <row r="27" spans="1:71" x14ac:dyDescent="0.2">
      <c r="A27">
        <v>26093</v>
      </c>
      <c r="B27" t="s">
        <v>50</v>
      </c>
      <c r="C27" t="s">
        <v>76</v>
      </c>
      <c r="D27">
        <v>43.667000000000002</v>
      </c>
      <c r="E27">
        <v>-79.400000000000006</v>
      </c>
      <c r="F27">
        <v>75</v>
      </c>
      <c r="G27">
        <v>1010</v>
      </c>
      <c r="H27">
        <v>63.61</v>
      </c>
      <c r="I27">
        <v>13.4</v>
      </c>
      <c r="J27">
        <v>32.72</v>
      </c>
      <c r="K27">
        <v>149.1</v>
      </c>
      <c r="L27">
        <v>217.05</v>
      </c>
      <c r="M27">
        <v>431.73</v>
      </c>
      <c r="N27">
        <v>1295.18</v>
      </c>
      <c r="O27">
        <v>0.2195</v>
      </c>
      <c r="P27">
        <v>0.68700000000000006</v>
      </c>
      <c r="Q27">
        <v>1.4999999999999999E-2</v>
      </c>
      <c r="R27">
        <v>0</v>
      </c>
      <c r="S27">
        <v>324.3</v>
      </c>
      <c r="T27">
        <v>239.9</v>
      </c>
      <c r="U27">
        <v>383.9</v>
      </c>
      <c r="V27">
        <v>1.06</v>
      </c>
      <c r="W27">
        <v>5.3999999999999999E-2</v>
      </c>
      <c r="X27">
        <v>80</v>
      </c>
      <c r="Y27">
        <v>62.2</v>
      </c>
      <c r="Z27">
        <v>32.325946709609859</v>
      </c>
      <c r="AA27">
        <v>147.30435985338721</v>
      </c>
      <c r="AB27">
        <v>214.43602485699327</v>
      </c>
      <c r="AC27">
        <v>2.2414960952662359</v>
      </c>
      <c r="AD27">
        <v>0.65439999999999998</v>
      </c>
      <c r="AE27">
        <v>2.9819999999999998</v>
      </c>
      <c r="AF27">
        <v>4.3410000000000002</v>
      </c>
      <c r="AG27">
        <v>0.64651893419219719</v>
      </c>
      <c r="AH27">
        <v>2.9460871970677442</v>
      </c>
      <c r="AI27">
        <v>4.2887204971398658</v>
      </c>
      <c r="AJ27">
        <v>2.5</v>
      </c>
      <c r="AK27">
        <v>0.1953125596510909</v>
      </c>
      <c r="AL27">
        <v>3.4758702114559683</v>
      </c>
      <c r="AM27">
        <v>4.9925009214921152</v>
      </c>
      <c r="AN27">
        <v>5.3680114414670248</v>
      </c>
      <c r="AO27">
        <v>0.02</v>
      </c>
      <c r="AP27">
        <v>0.02</v>
      </c>
      <c r="AQ27">
        <v>0.02</v>
      </c>
      <c r="AS27">
        <f t="shared" si="0"/>
        <v>1.0254664005271346</v>
      </c>
      <c r="AT27" s="1">
        <v>9.8442442509999993E-4</v>
      </c>
      <c r="AU27">
        <f t="shared" si="1"/>
        <v>2.3760664083337075</v>
      </c>
      <c r="AV27">
        <f t="shared" si="2"/>
        <v>0.11963903716206549</v>
      </c>
      <c r="BK27">
        <f t="shared" si="10"/>
        <v>2.2628115250939254</v>
      </c>
      <c r="BL27">
        <f t="shared" si="3"/>
        <v>0.16546455978919378</v>
      </c>
      <c r="BN27" s="1">
        <f t="shared" si="4"/>
        <v>5.9147174568505217E-3</v>
      </c>
      <c r="BO27">
        <f t="shared" si="5"/>
        <v>0.11949274174807319</v>
      </c>
      <c r="BP27">
        <f t="shared" si="6"/>
        <v>-4.4917966055372283E-6</v>
      </c>
      <c r="BQ27">
        <f t="shared" si="7"/>
        <v>6.7238035188133883E-5</v>
      </c>
      <c r="BR27">
        <f t="shared" si="8"/>
        <v>1.8950372063128797E-2</v>
      </c>
      <c r="BS27">
        <f t="shared" si="9"/>
        <v>0.1643757871578751</v>
      </c>
    </row>
    <row r="28" spans="1:71" x14ac:dyDescent="0.2">
      <c r="A28">
        <v>26093</v>
      </c>
      <c r="B28" t="s">
        <v>50</v>
      </c>
      <c r="C28" t="s">
        <v>77</v>
      </c>
      <c r="D28">
        <v>43.667000000000002</v>
      </c>
      <c r="E28">
        <v>-79.400000000000006</v>
      </c>
      <c r="F28">
        <v>75</v>
      </c>
      <c r="G28">
        <v>1009</v>
      </c>
      <c r="H28">
        <v>63.56</v>
      </c>
      <c r="I28">
        <v>13.4</v>
      </c>
      <c r="J28">
        <v>33.33</v>
      </c>
      <c r="K28">
        <v>150.46</v>
      </c>
      <c r="L28">
        <v>218.13</v>
      </c>
      <c r="M28">
        <v>442.5</v>
      </c>
      <c r="N28">
        <v>1345.52</v>
      </c>
      <c r="O28">
        <v>0.2215</v>
      </c>
      <c r="P28">
        <v>0.68979999999999997</v>
      </c>
      <c r="Q28">
        <v>1.4999999999999999E-2</v>
      </c>
      <c r="R28">
        <v>5.0000000000000001E-3</v>
      </c>
      <c r="S28">
        <v>323.5</v>
      </c>
      <c r="T28">
        <v>239</v>
      </c>
      <c r="U28">
        <v>383.2</v>
      </c>
      <c r="V28">
        <v>1.0900000000000001</v>
      </c>
      <c r="W28">
        <v>3.6999999999999998E-2</v>
      </c>
      <c r="X28">
        <v>80</v>
      </c>
      <c r="Y28">
        <v>62.4</v>
      </c>
      <c r="Z28">
        <v>32.928600361592189</v>
      </c>
      <c r="AA28">
        <v>148.64798111026587</v>
      </c>
      <c r="AB28">
        <v>215.50301820804395</v>
      </c>
      <c r="AC28">
        <v>2.2375973610517086</v>
      </c>
      <c r="AD28">
        <v>0.66659999999999997</v>
      </c>
      <c r="AE28">
        <v>3.0092000000000003</v>
      </c>
      <c r="AF28">
        <v>4.3625999999999996</v>
      </c>
      <c r="AG28">
        <v>0.65857200723184384</v>
      </c>
      <c r="AH28">
        <v>2.9729596222053178</v>
      </c>
      <c r="AI28">
        <v>4.3100603641608792</v>
      </c>
      <c r="AJ28">
        <v>2.5</v>
      </c>
      <c r="AK28">
        <v>0.19455234266744606</v>
      </c>
      <c r="AL28">
        <v>3.4943415920410703</v>
      </c>
      <c r="AM28">
        <v>5.0015809678534975</v>
      </c>
      <c r="AN28">
        <v>5.3729749150514969</v>
      </c>
      <c r="AO28">
        <v>0.02</v>
      </c>
      <c r="AP28">
        <v>2.0000000000000004E-2</v>
      </c>
      <c r="AQ28">
        <v>0.02</v>
      </c>
      <c r="AS28">
        <f t="shared" si="0"/>
        <v>1.0254664005271346</v>
      </c>
      <c r="AT28" s="1">
        <v>9.8442442509999993E-4</v>
      </c>
      <c r="AU28">
        <f t="shared" si="1"/>
        <v>2.371297925943082</v>
      </c>
      <c r="AV28">
        <f t="shared" si="2"/>
        <v>0.11907714317485298</v>
      </c>
      <c r="BK28">
        <f t="shared" si="10"/>
        <v>2.258775026050047</v>
      </c>
      <c r="BL28">
        <f t="shared" si="3"/>
        <v>0.16481877554698954</v>
      </c>
      <c r="BN28" s="1">
        <f t="shared" si="4"/>
        <v>5.876630523692682E-3</v>
      </c>
      <c r="BO28">
        <f t="shared" si="5"/>
        <v>0.11893204463210257</v>
      </c>
      <c r="BP28">
        <f t="shared" si="6"/>
        <v>-4.462765448397011E-6</v>
      </c>
      <c r="BQ28">
        <f t="shared" si="7"/>
        <v>6.6803465652429637E-5</v>
      </c>
      <c r="BR28">
        <f t="shared" si="8"/>
        <v>1.8861370175698965E-2</v>
      </c>
      <c r="BS28">
        <f t="shared" si="9"/>
        <v>0.16373598567598044</v>
      </c>
    </row>
    <row r="29" spans="1:71" x14ac:dyDescent="0.2">
      <c r="A29">
        <v>26093</v>
      </c>
      <c r="B29" t="s">
        <v>50</v>
      </c>
      <c r="C29" t="s">
        <v>78</v>
      </c>
      <c r="D29">
        <v>43.667000000000002</v>
      </c>
      <c r="E29">
        <v>-79.400000000000006</v>
      </c>
      <c r="F29">
        <v>75</v>
      </c>
      <c r="G29">
        <v>1008</v>
      </c>
      <c r="H29">
        <v>63.52</v>
      </c>
      <c r="I29">
        <v>13.4</v>
      </c>
      <c r="J29">
        <v>32.22</v>
      </c>
      <c r="K29">
        <v>145.02000000000001</v>
      </c>
      <c r="L29">
        <v>216.17</v>
      </c>
      <c r="M29">
        <v>417.99</v>
      </c>
      <c r="N29">
        <v>1269.55</v>
      </c>
      <c r="O29">
        <v>0.22220000000000001</v>
      </c>
      <c r="P29">
        <v>0.67079999999999995</v>
      </c>
      <c r="Q29">
        <v>0</v>
      </c>
      <c r="R29">
        <v>1E-3</v>
      </c>
      <c r="S29">
        <v>323.5</v>
      </c>
      <c r="T29">
        <v>250.4</v>
      </c>
      <c r="U29">
        <v>375.1</v>
      </c>
      <c r="V29">
        <v>1.08</v>
      </c>
      <c r="W29">
        <v>6.3E-2</v>
      </c>
      <c r="X29">
        <v>80</v>
      </c>
      <c r="Y29">
        <v>62.6</v>
      </c>
      <c r="Z29">
        <v>31.831968306345647</v>
      </c>
      <c r="AA29">
        <v>143.27349608275128</v>
      </c>
      <c r="AB29">
        <v>213.56662286724824</v>
      </c>
      <c r="AC29">
        <v>2.2344892951540198</v>
      </c>
      <c r="AD29">
        <v>0.64439999999999997</v>
      </c>
      <c r="AE29">
        <v>2.9004000000000003</v>
      </c>
      <c r="AF29">
        <v>4.3233999999999995</v>
      </c>
      <c r="AG29">
        <v>0.63663936612691296</v>
      </c>
      <c r="AH29">
        <v>2.8654699216550257</v>
      </c>
      <c r="AI29">
        <v>4.2713324573449647</v>
      </c>
      <c r="AJ29">
        <v>2.5</v>
      </c>
      <c r="AK29">
        <v>0.19394720360708026</v>
      </c>
      <c r="AL29">
        <v>3.4604710774702503</v>
      </c>
      <c r="AM29">
        <v>4.9647553636648691</v>
      </c>
      <c r="AN29">
        <v>5.3639488348913833</v>
      </c>
      <c r="AO29">
        <v>0.02</v>
      </c>
      <c r="AP29">
        <v>0.02</v>
      </c>
      <c r="AQ29">
        <v>0.02</v>
      </c>
      <c r="AS29">
        <f t="shared" si="0"/>
        <v>1.0254664005271346</v>
      </c>
      <c r="AT29" s="1">
        <v>9.8442442509999993E-4</v>
      </c>
      <c r="AU29">
        <f t="shared" si="1"/>
        <v>2.3674992383105642</v>
      </c>
      <c r="AV29">
        <f t="shared" si="2"/>
        <v>0.11863050547588544</v>
      </c>
      <c r="BK29">
        <f t="shared" si="10"/>
        <v>2.2555575682754236</v>
      </c>
      <c r="BL29">
        <f t="shared" si="3"/>
        <v>0.16430473840081219</v>
      </c>
      <c r="BN29" s="1">
        <f t="shared" si="4"/>
        <v>5.8464018477688484E-3</v>
      </c>
      <c r="BO29">
        <f t="shared" si="5"/>
        <v>0.11848635539545678</v>
      </c>
      <c r="BP29">
        <f t="shared" si="6"/>
        <v>-4.4397133182985997E-6</v>
      </c>
      <c r="BQ29">
        <f t="shared" si="7"/>
        <v>6.6458396614172717E-5</v>
      </c>
      <c r="BR29">
        <f t="shared" si="8"/>
        <v>1.8790624449440827E-2</v>
      </c>
      <c r="BS29">
        <f t="shared" si="9"/>
        <v>0.16322669835945919</v>
      </c>
    </row>
    <row r="30" spans="1:71" x14ac:dyDescent="0.2">
      <c r="A30">
        <v>26093</v>
      </c>
      <c r="B30" t="s">
        <v>50</v>
      </c>
      <c r="C30" t="s">
        <v>79</v>
      </c>
      <c r="D30">
        <v>43.667000000000002</v>
      </c>
      <c r="E30">
        <v>-79.400000000000006</v>
      </c>
      <c r="F30">
        <v>75</v>
      </c>
      <c r="G30">
        <v>1009</v>
      </c>
      <c r="H30">
        <v>62.6</v>
      </c>
      <c r="I30">
        <v>12.7</v>
      </c>
      <c r="J30">
        <v>39.049999999999997</v>
      </c>
      <c r="K30">
        <v>165.43</v>
      </c>
      <c r="L30">
        <v>235.26</v>
      </c>
      <c r="M30">
        <v>433.13</v>
      </c>
      <c r="N30">
        <v>1327.18</v>
      </c>
      <c r="O30">
        <v>0.23599999999999999</v>
      </c>
      <c r="P30">
        <v>0.70309999999999995</v>
      </c>
      <c r="Q30">
        <v>1.2999999999999999E-2</v>
      </c>
      <c r="R30">
        <v>1.2999999999999999E-2</v>
      </c>
      <c r="S30">
        <v>324.5</v>
      </c>
      <c r="T30">
        <v>241.6</v>
      </c>
      <c r="U30">
        <v>383</v>
      </c>
      <c r="V30">
        <v>1.1399999999999999</v>
      </c>
      <c r="W30">
        <v>4.3999999999999997E-2</v>
      </c>
      <c r="X30">
        <v>80</v>
      </c>
      <c r="Y30">
        <v>62.1</v>
      </c>
      <c r="Z30">
        <v>38.579713294934749</v>
      </c>
      <c r="AA30">
        <v>163.43769450399631</v>
      </c>
      <c r="AB30">
        <v>232.42671830387576</v>
      </c>
      <c r="AC30">
        <v>2.1655863727734177</v>
      </c>
      <c r="AD30">
        <v>0.78099999999999992</v>
      </c>
      <c r="AE30">
        <v>3.3086000000000002</v>
      </c>
      <c r="AF30">
        <v>4.7051999999999996</v>
      </c>
      <c r="AG30">
        <v>0.77159426589869484</v>
      </c>
      <c r="AH30">
        <v>3.268753890079926</v>
      </c>
      <c r="AI30">
        <v>4.6485343660775147</v>
      </c>
      <c r="AJ30">
        <v>2.5</v>
      </c>
      <c r="AK30">
        <v>0.18073787821315102</v>
      </c>
      <c r="AL30">
        <v>3.652726576007117</v>
      </c>
      <c r="AM30">
        <v>5.0964318443403469</v>
      </c>
      <c r="AN30">
        <v>5.4485749852537175</v>
      </c>
      <c r="AO30">
        <v>1.9999999999999997E-2</v>
      </c>
      <c r="AP30">
        <v>1.9999999999999997E-2</v>
      </c>
      <c r="AQ30">
        <v>1.9999999999999997E-2</v>
      </c>
      <c r="AS30">
        <f t="shared" si="0"/>
        <v>1.0254664005271346</v>
      </c>
      <c r="AT30" s="1">
        <v>9.8442442509999993E-4</v>
      </c>
      <c r="AU30">
        <f t="shared" si="1"/>
        <v>2.2838979512408737</v>
      </c>
      <c r="AV30">
        <f t="shared" si="2"/>
        <v>0.10901938237002097</v>
      </c>
      <c r="BK30">
        <f t="shared" si="10"/>
        <v>2.1843264803881022</v>
      </c>
      <c r="BL30">
        <f t="shared" si="3"/>
        <v>0.15308674372169664</v>
      </c>
      <c r="BN30" s="1">
        <f t="shared" si="4"/>
        <v>5.2060116609324129E-3</v>
      </c>
      <c r="BO30">
        <f t="shared" si="5"/>
        <v>0.10889500987155966</v>
      </c>
      <c r="BP30">
        <f t="shared" si="6"/>
        <v>-3.9490994294515638E-6</v>
      </c>
      <c r="BQ30">
        <f t="shared" si="7"/>
        <v>5.9114361071374849E-5</v>
      </c>
      <c r="BR30">
        <f t="shared" si="8"/>
        <v>1.7268258814268227E-2</v>
      </c>
      <c r="BS30">
        <f t="shared" si="9"/>
        <v>0.15210968026635519</v>
      </c>
    </row>
    <row r="31" spans="1:71" x14ac:dyDescent="0.2">
      <c r="A31">
        <v>26093</v>
      </c>
      <c r="B31" t="s">
        <v>50</v>
      </c>
      <c r="C31" t="s">
        <v>80</v>
      </c>
      <c r="D31">
        <v>43.667000000000002</v>
      </c>
      <c r="E31">
        <v>-79.400000000000006</v>
      </c>
      <c r="F31">
        <v>75</v>
      </c>
      <c r="G31">
        <v>1010</v>
      </c>
      <c r="H31">
        <v>62.55</v>
      </c>
      <c r="I31">
        <v>12.7</v>
      </c>
      <c r="J31">
        <v>37.729999999999997</v>
      </c>
      <c r="K31">
        <v>161.55000000000001</v>
      </c>
      <c r="L31">
        <v>233.92</v>
      </c>
      <c r="M31">
        <v>411.5</v>
      </c>
      <c r="N31">
        <v>1291.79</v>
      </c>
      <c r="O31">
        <v>0.2336</v>
      </c>
      <c r="P31">
        <v>0.69069999999999998</v>
      </c>
      <c r="Q31">
        <v>1.7999999999999999E-2</v>
      </c>
      <c r="R31">
        <v>2E-3</v>
      </c>
      <c r="S31">
        <v>326.8</v>
      </c>
      <c r="T31">
        <v>249.3</v>
      </c>
      <c r="U31">
        <v>381.5</v>
      </c>
      <c r="V31">
        <v>1.17</v>
      </c>
      <c r="W31">
        <v>5.7000000000000002E-2</v>
      </c>
      <c r="X31">
        <v>80</v>
      </c>
      <c r="Y31">
        <v>61.9</v>
      </c>
      <c r="Z31">
        <v>37.275610310317234</v>
      </c>
      <c r="AA31">
        <v>159.60442209466603</v>
      </c>
      <c r="AB31">
        <v>231.10285618312767</v>
      </c>
      <c r="AC31">
        <v>2.1619783545135505</v>
      </c>
      <c r="AD31">
        <v>0.75459999999999994</v>
      </c>
      <c r="AE31">
        <v>3.2310000000000003</v>
      </c>
      <c r="AF31">
        <v>4.6783999999999999</v>
      </c>
      <c r="AG31">
        <v>0.74551220620634462</v>
      </c>
      <c r="AH31">
        <v>3.1920884418933211</v>
      </c>
      <c r="AI31">
        <v>4.6220571236625538</v>
      </c>
      <c r="AJ31">
        <v>2.5</v>
      </c>
      <c r="AK31">
        <v>0.18005704387757362</v>
      </c>
      <c r="AL31">
        <v>3.6183392336976414</v>
      </c>
      <c r="AM31">
        <v>5.0726983919919295</v>
      </c>
      <c r="AN31">
        <v>5.4428628762828355</v>
      </c>
      <c r="AO31">
        <v>1.9999999999999997E-2</v>
      </c>
      <c r="AP31">
        <v>2.0000000000000004E-2</v>
      </c>
      <c r="AQ31">
        <v>0.02</v>
      </c>
      <c r="AS31">
        <f t="shared" si="0"/>
        <v>1.0254664005271346</v>
      </c>
      <c r="AT31" s="1">
        <v>9.8442442509999993E-4</v>
      </c>
      <c r="AU31">
        <f t="shared" si="1"/>
        <v>2.2795519083551854</v>
      </c>
      <c r="AV31">
        <f t="shared" si="2"/>
        <v>0.10853108360788508</v>
      </c>
      <c r="BK31">
        <f t="shared" si="10"/>
        <v>2.1806015618122281</v>
      </c>
      <c r="BL31">
        <f t="shared" si="3"/>
        <v>0.15250868388352692</v>
      </c>
      <c r="BN31" s="1">
        <f t="shared" si="4"/>
        <v>5.1740050546354374E-3</v>
      </c>
      <c r="BO31">
        <f t="shared" si="5"/>
        <v>0.10840768321847094</v>
      </c>
      <c r="BP31">
        <f t="shared" si="6"/>
        <v>-3.9244650473690618E-6</v>
      </c>
      <c r="BQ31">
        <f t="shared" si="7"/>
        <v>5.874560718629037E-5</v>
      </c>
      <c r="BR31">
        <f t="shared" si="8"/>
        <v>1.719091413280021E-2</v>
      </c>
      <c r="BS31">
        <f t="shared" si="9"/>
        <v>0.15153668752060159</v>
      </c>
    </row>
    <row r="32" spans="1:71" x14ac:dyDescent="0.2">
      <c r="A32">
        <v>26093</v>
      </c>
      <c r="B32" t="s">
        <v>50</v>
      </c>
      <c r="C32" t="s">
        <v>81</v>
      </c>
      <c r="D32">
        <v>43.667000000000002</v>
      </c>
      <c r="E32">
        <v>-79.400000000000006</v>
      </c>
      <c r="F32">
        <v>75</v>
      </c>
      <c r="G32">
        <v>1009</v>
      </c>
      <c r="H32">
        <v>62.5</v>
      </c>
      <c r="I32">
        <v>12.7</v>
      </c>
      <c r="J32">
        <v>36.85</v>
      </c>
      <c r="K32">
        <v>159.49</v>
      </c>
      <c r="L32">
        <v>230.47</v>
      </c>
      <c r="M32">
        <v>387.64</v>
      </c>
      <c r="N32">
        <v>1242.01</v>
      </c>
      <c r="O32">
        <v>0.23100000000000001</v>
      </c>
      <c r="P32">
        <v>0.69189999999999996</v>
      </c>
      <c r="Q32">
        <v>7.0000000000000001E-3</v>
      </c>
      <c r="R32">
        <v>2.7E-2</v>
      </c>
      <c r="S32">
        <v>329.2</v>
      </c>
      <c r="T32">
        <v>249.3</v>
      </c>
      <c r="U32">
        <v>385.7</v>
      </c>
      <c r="V32">
        <v>1.19</v>
      </c>
      <c r="W32">
        <v>7.4999999999999997E-2</v>
      </c>
      <c r="X32">
        <v>80</v>
      </c>
      <c r="Y32">
        <v>61.5</v>
      </c>
      <c r="Z32">
        <v>36.406208320572226</v>
      </c>
      <c r="AA32">
        <v>157.56923107321751</v>
      </c>
      <c r="AB32">
        <v>227.69440520060465</v>
      </c>
      <c r="AC32">
        <v>2.1583839172868755</v>
      </c>
      <c r="AD32">
        <v>0.73699999999999999</v>
      </c>
      <c r="AE32">
        <v>3.1898000000000004</v>
      </c>
      <c r="AF32">
        <v>4.6093999999999999</v>
      </c>
      <c r="AG32">
        <v>0.72812416641144451</v>
      </c>
      <c r="AH32">
        <v>3.1513846214643504</v>
      </c>
      <c r="AI32">
        <v>4.5538881040120929</v>
      </c>
      <c r="AJ32">
        <v>2.5</v>
      </c>
      <c r="AK32">
        <v>0.17937984564959775</v>
      </c>
      <c r="AL32">
        <v>3.5947393183567677</v>
      </c>
      <c r="AM32">
        <v>5.0598649240560851</v>
      </c>
      <c r="AN32">
        <v>5.4280044018438218</v>
      </c>
      <c r="AO32">
        <v>0.02</v>
      </c>
      <c r="AP32">
        <v>0.02</v>
      </c>
      <c r="AQ32">
        <v>0.02</v>
      </c>
      <c r="AS32">
        <f t="shared" si="0"/>
        <v>1.0254664005271346</v>
      </c>
      <c r="AT32" s="1">
        <v>9.8442442509999993E-4</v>
      </c>
      <c r="AU32">
        <f t="shared" si="1"/>
        <v>2.2752252928841523</v>
      </c>
      <c r="AV32">
        <f t="shared" si="2"/>
        <v>0.10804607201980466</v>
      </c>
      <c r="BK32">
        <f t="shared" si="10"/>
        <v>2.1768911503143098</v>
      </c>
      <c r="BL32">
        <f t="shared" si="3"/>
        <v>0.15193372436828775</v>
      </c>
      <c r="BN32" s="1">
        <f t="shared" si="4"/>
        <v>5.1422659024800517E-3</v>
      </c>
      <c r="BO32">
        <f t="shared" si="5"/>
        <v>0.10792363402099192</v>
      </c>
      <c r="BP32">
        <f t="shared" si="6"/>
        <v>-3.900025810529306E-6</v>
      </c>
      <c r="BQ32">
        <f t="shared" si="7"/>
        <v>5.837977444475952E-5</v>
      </c>
      <c r="BR32">
        <f t="shared" si="8"/>
        <v>1.7114090127299378E-2</v>
      </c>
      <c r="BS32">
        <f t="shared" si="9"/>
        <v>0.15096675493672521</v>
      </c>
    </row>
    <row r="33" spans="1:71" x14ac:dyDescent="0.2">
      <c r="A33">
        <v>26093</v>
      </c>
      <c r="B33" t="s">
        <v>50</v>
      </c>
      <c r="C33" t="s">
        <v>82</v>
      </c>
      <c r="D33">
        <v>43.667000000000002</v>
      </c>
      <c r="E33">
        <v>-79.400000000000006</v>
      </c>
      <c r="F33">
        <v>75</v>
      </c>
      <c r="G33">
        <v>1009</v>
      </c>
      <c r="H33">
        <v>62.45</v>
      </c>
      <c r="I33">
        <v>12.6</v>
      </c>
      <c r="J33">
        <v>37.49</v>
      </c>
      <c r="K33">
        <v>160.06</v>
      </c>
      <c r="L33">
        <v>233.11</v>
      </c>
      <c r="M33">
        <v>402.29</v>
      </c>
      <c r="N33">
        <v>1269.78</v>
      </c>
      <c r="O33">
        <v>0.23430000000000001</v>
      </c>
      <c r="P33">
        <v>0.68640000000000001</v>
      </c>
      <c r="Q33">
        <v>6.0000000000000001E-3</v>
      </c>
      <c r="R33">
        <v>2.1999999999999999E-2</v>
      </c>
      <c r="S33">
        <v>327.60000000000002</v>
      </c>
      <c r="T33">
        <v>253.1</v>
      </c>
      <c r="U33">
        <v>380.2</v>
      </c>
      <c r="V33">
        <v>1.18</v>
      </c>
      <c r="W33">
        <v>6.5000000000000002E-2</v>
      </c>
      <c r="X33">
        <v>80</v>
      </c>
      <c r="Y33">
        <v>62.5</v>
      </c>
      <c r="Z33">
        <v>37.038500676750417</v>
      </c>
      <c r="AA33">
        <v>158.1323664529387</v>
      </c>
      <c r="AB33">
        <v>230.30261116983968</v>
      </c>
      <c r="AC33">
        <v>2.1548029886223992</v>
      </c>
      <c r="AD33">
        <v>0.74980000000000002</v>
      </c>
      <c r="AE33">
        <v>3.2012</v>
      </c>
      <c r="AF33">
        <v>4.6622000000000003</v>
      </c>
      <c r="AG33">
        <v>0.74077001353500838</v>
      </c>
      <c r="AH33">
        <v>3.1626473290587738</v>
      </c>
      <c r="AI33">
        <v>4.6060522233967935</v>
      </c>
      <c r="AJ33">
        <v>2.5</v>
      </c>
      <c r="AK33">
        <v>0.17870625762356498</v>
      </c>
      <c r="AL33">
        <v>3.6119579304692429</v>
      </c>
      <c r="AM33">
        <v>5.0634324446603225</v>
      </c>
      <c r="AN33">
        <v>5.4393941448858536</v>
      </c>
      <c r="AO33">
        <v>0.02</v>
      </c>
      <c r="AP33">
        <v>0.02</v>
      </c>
      <c r="AQ33">
        <v>0.02</v>
      </c>
      <c r="AS33">
        <f t="shared" si="0"/>
        <v>1.0254664005271346</v>
      </c>
      <c r="AT33" s="1">
        <v>9.8442442509999993E-4</v>
      </c>
      <c r="AU33">
        <f t="shared" si="1"/>
        <v>2.2709179743412307</v>
      </c>
      <c r="AV33">
        <f t="shared" si="2"/>
        <v>0.10756431696418438</v>
      </c>
      <c r="BK33">
        <f t="shared" si="10"/>
        <v>2.1731951642339098</v>
      </c>
      <c r="BL33">
        <f t="shared" si="3"/>
        <v>0.15136184293563484</v>
      </c>
      <c r="BN33" s="1">
        <f t="shared" si="4"/>
        <v>5.1107913437031501E-3</v>
      </c>
      <c r="BO33">
        <f t="shared" si="5"/>
        <v>0.1074428317563003</v>
      </c>
      <c r="BP33">
        <f t="shared" si="6"/>
        <v>-3.8757797824424036E-6</v>
      </c>
      <c r="BQ33">
        <f t="shared" si="7"/>
        <v>5.8016833859322061E-5</v>
      </c>
      <c r="BR33">
        <f t="shared" si="8"/>
        <v>1.7037781944252647E-2</v>
      </c>
      <c r="BS33">
        <f t="shared" si="9"/>
        <v>0.15039986071242623</v>
      </c>
    </row>
    <row r="34" spans="1:71" x14ac:dyDescent="0.2">
      <c r="A34">
        <v>26093</v>
      </c>
      <c r="B34" t="s">
        <v>50</v>
      </c>
      <c r="C34" t="s">
        <v>83</v>
      </c>
      <c r="D34">
        <v>43.667000000000002</v>
      </c>
      <c r="E34">
        <v>-79.400000000000006</v>
      </c>
      <c r="F34">
        <v>75</v>
      </c>
      <c r="G34">
        <v>1009</v>
      </c>
      <c r="H34">
        <v>62.4</v>
      </c>
      <c r="I34">
        <v>12.7</v>
      </c>
      <c r="J34">
        <v>39.57</v>
      </c>
      <c r="K34">
        <v>164.81</v>
      </c>
      <c r="L34">
        <v>233.88</v>
      </c>
      <c r="M34">
        <v>417.87</v>
      </c>
      <c r="N34">
        <v>1301.02</v>
      </c>
      <c r="O34">
        <v>0.24</v>
      </c>
      <c r="P34">
        <v>0.7046</v>
      </c>
      <c r="Q34">
        <v>0.02</v>
      </c>
      <c r="R34">
        <v>1.4999999999999999E-2</v>
      </c>
      <c r="S34">
        <v>324</v>
      </c>
      <c r="T34">
        <v>242.9</v>
      </c>
      <c r="U34">
        <v>381.2</v>
      </c>
      <c r="V34">
        <v>1.1599999999999999</v>
      </c>
      <c r="W34">
        <v>5.3999999999999999E-2</v>
      </c>
      <c r="X34">
        <v>80</v>
      </c>
      <c r="Y34">
        <v>61.6</v>
      </c>
      <c r="Z34">
        <v>39.093450834329524</v>
      </c>
      <c r="AA34">
        <v>162.82516128394869</v>
      </c>
      <c r="AB34">
        <v>231.06333791086655</v>
      </c>
      <c r="AC34">
        <v>2.1512354965650511</v>
      </c>
      <c r="AD34">
        <v>0.79139999999999999</v>
      </c>
      <c r="AE34">
        <v>3.2962000000000002</v>
      </c>
      <c r="AF34">
        <v>4.6776</v>
      </c>
      <c r="AG34">
        <v>0.78186901668659048</v>
      </c>
      <c r="AH34">
        <v>3.2565032256789737</v>
      </c>
      <c r="AI34">
        <v>4.621266758217331</v>
      </c>
      <c r="AJ34">
        <v>2.5</v>
      </c>
      <c r="AK34">
        <v>0.17803625412277319</v>
      </c>
      <c r="AL34">
        <v>3.6659549551187549</v>
      </c>
      <c r="AM34">
        <v>5.092676994967511</v>
      </c>
      <c r="AN34">
        <v>5.4426918630288919</v>
      </c>
      <c r="AO34">
        <v>0.02</v>
      </c>
      <c r="AP34">
        <v>0.02</v>
      </c>
      <c r="AQ34">
        <v>0.02</v>
      </c>
      <c r="AS34">
        <f t="shared" si="0"/>
        <v>1.0254664005271346</v>
      </c>
      <c r="AT34" s="1">
        <v>9.8442442509999993E-4</v>
      </c>
      <c r="AU34">
        <f t="shared" si="1"/>
        <v>2.2666298234534854</v>
      </c>
      <c r="AV34">
        <f t="shared" si="2"/>
        <v>0.10708578816532877</v>
      </c>
      <c r="BK34">
        <f t="shared" si="10"/>
        <v>2.1695135225370246</v>
      </c>
      <c r="BL34">
        <f t="shared" si="3"/>
        <v>0.1507930175439699</v>
      </c>
      <c r="BN34" s="1">
        <f t="shared" si="4"/>
        <v>5.079578554995706E-3</v>
      </c>
      <c r="BO34">
        <f t="shared" si="5"/>
        <v>0.1069652462657535</v>
      </c>
      <c r="BP34">
        <f t="shared" si="6"/>
        <v>-3.8517250499063689E-6</v>
      </c>
      <c r="BQ34">
        <f t="shared" si="7"/>
        <v>5.7656756791116168E-5</v>
      </c>
      <c r="BR34">
        <f t="shared" si="8"/>
        <v>1.6961984788104088E-2</v>
      </c>
      <c r="BS34">
        <f t="shared" si="9"/>
        <v>0.14983598323809522</v>
      </c>
    </row>
    <row r="35" spans="1:71" x14ac:dyDescent="0.2">
      <c r="A35">
        <v>26093</v>
      </c>
      <c r="B35" t="s">
        <v>50</v>
      </c>
      <c r="C35" t="s">
        <v>84</v>
      </c>
      <c r="D35">
        <v>43.667000000000002</v>
      </c>
      <c r="E35">
        <v>-79.400000000000006</v>
      </c>
      <c r="F35">
        <v>75</v>
      </c>
      <c r="G35">
        <v>1009</v>
      </c>
      <c r="H35">
        <v>62.35</v>
      </c>
      <c r="I35">
        <v>12.7</v>
      </c>
      <c r="J35">
        <v>39.86</v>
      </c>
      <c r="K35">
        <v>165.9</v>
      </c>
      <c r="L35">
        <v>236.49</v>
      </c>
      <c r="M35">
        <v>417.74</v>
      </c>
      <c r="N35">
        <v>1305.0999999999999</v>
      </c>
      <c r="O35">
        <v>0.2402</v>
      </c>
      <c r="P35">
        <v>0.70140000000000002</v>
      </c>
      <c r="Q35">
        <v>2E-3</v>
      </c>
      <c r="R35">
        <v>1.0999999999999999E-2</v>
      </c>
      <c r="S35">
        <v>324.39999999999998</v>
      </c>
      <c r="T35">
        <v>245.2</v>
      </c>
      <c r="U35">
        <v>380.2</v>
      </c>
      <c r="V35">
        <v>1.17</v>
      </c>
      <c r="W35">
        <v>5.2999999999999999E-2</v>
      </c>
      <c r="X35">
        <v>80</v>
      </c>
      <c r="Y35">
        <v>62.6</v>
      </c>
      <c r="Z35">
        <v>39.379958308222768</v>
      </c>
      <c r="AA35">
        <v>163.90203420306466</v>
      </c>
      <c r="AB35">
        <v>233.64190517590575</v>
      </c>
      <c r="AC35">
        <v>2.1476813696711261</v>
      </c>
      <c r="AD35">
        <v>0.79720000000000002</v>
      </c>
      <c r="AE35">
        <v>3.3180000000000001</v>
      </c>
      <c r="AF35">
        <v>4.7298</v>
      </c>
      <c r="AG35">
        <v>0.78759916616445536</v>
      </c>
      <c r="AH35">
        <v>3.2780406840612932</v>
      </c>
      <c r="AI35">
        <v>4.6728381035181146</v>
      </c>
      <c r="AJ35">
        <v>2.5</v>
      </c>
      <c r="AK35">
        <v>0.17736980969706292</v>
      </c>
      <c r="AL35">
        <v>3.673257014506071</v>
      </c>
      <c r="AM35">
        <v>5.0992688969178213</v>
      </c>
      <c r="AN35">
        <v>5.4537896234613488</v>
      </c>
      <c r="AO35">
        <v>0.02</v>
      </c>
      <c r="AP35">
        <v>0.02</v>
      </c>
      <c r="AQ35">
        <v>1.9999999999999997E-2</v>
      </c>
      <c r="AS35">
        <f t="shared" si="0"/>
        <v>1.0254664005271346</v>
      </c>
      <c r="AT35" s="1">
        <v>9.8442442509999993E-4</v>
      </c>
      <c r="AU35">
        <f t="shared" si="1"/>
        <v>2.2623607121471352</v>
      </c>
      <c r="AV35">
        <f t="shared" si="2"/>
        <v>0.10661045570810107</v>
      </c>
      <c r="BK35">
        <f t="shared" si="10"/>
        <v>2.1658461448099584</v>
      </c>
      <c r="BL35">
        <f t="shared" si="3"/>
        <v>0.15022722634830835</v>
      </c>
      <c r="BN35" s="1">
        <f t="shared" si="4"/>
        <v>5.0486247499206575E-3</v>
      </c>
      <c r="BO35">
        <f t="shared" si="5"/>
        <v>0.10649084774957643</v>
      </c>
      <c r="BP35">
        <f t="shared" si="6"/>
        <v>-3.8278597226767781E-6</v>
      </c>
      <c r="BQ35">
        <f t="shared" si="7"/>
        <v>5.7299514944933402E-5</v>
      </c>
      <c r="BR35">
        <f t="shared" si="8"/>
        <v>1.6886693920408924E-2</v>
      </c>
      <c r="BS35">
        <f t="shared" si="9"/>
        <v>0.14927510109478195</v>
      </c>
    </row>
    <row r="36" spans="1:71" x14ac:dyDescent="0.2">
      <c r="A36">
        <v>26093</v>
      </c>
      <c r="B36" t="s">
        <v>50</v>
      </c>
      <c r="C36" t="s">
        <v>85</v>
      </c>
      <c r="D36">
        <v>43.667000000000002</v>
      </c>
      <c r="E36">
        <v>-79.400000000000006</v>
      </c>
      <c r="F36">
        <v>75</v>
      </c>
      <c r="G36">
        <v>1009</v>
      </c>
      <c r="H36">
        <v>62.31</v>
      </c>
      <c r="I36">
        <v>12.7</v>
      </c>
      <c r="J36">
        <v>40.799999999999997</v>
      </c>
      <c r="K36">
        <v>168.49</v>
      </c>
      <c r="L36">
        <v>237.08</v>
      </c>
      <c r="M36">
        <v>417.37</v>
      </c>
      <c r="N36">
        <v>1299.9100000000001</v>
      </c>
      <c r="O36">
        <v>0.24210000000000001</v>
      </c>
      <c r="P36">
        <v>0.71060000000000001</v>
      </c>
      <c r="Q36">
        <v>1.4E-2</v>
      </c>
      <c r="R36">
        <v>1.0999999999999999E-2</v>
      </c>
      <c r="S36">
        <v>323.60000000000002</v>
      </c>
      <c r="T36">
        <v>240.4</v>
      </c>
      <c r="U36">
        <v>382.4</v>
      </c>
      <c r="V36">
        <v>1.17</v>
      </c>
      <c r="W36">
        <v>5.5E-2</v>
      </c>
      <c r="X36">
        <v>80</v>
      </c>
      <c r="Y36">
        <v>62.3</v>
      </c>
      <c r="Z36">
        <v>40.308637706359477</v>
      </c>
      <c r="AA36">
        <v>166.46084233197325</v>
      </c>
      <c r="AB36">
        <v>234.22479969175751</v>
      </c>
      <c r="AC36">
        <v>2.1448476433871724</v>
      </c>
      <c r="AD36">
        <v>0.81599999999999995</v>
      </c>
      <c r="AE36">
        <v>3.3698000000000001</v>
      </c>
      <c r="AF36">
        <v>4.7416</v>
      </c>
      <c r="AG36">
        <v>0.80617275412718958</v>
      </c>
      <c r="AH36">
        <v>3.3292168466394654</v>
      </c>
      <c r="AI36">
        <v>4.6844959938351503</v>
      </c>
      <c r="AJ36">
        <v>2.5</v>
      </c>
      <c r="AK36">
        <v>0.17683919973120879</v>
      </c>
      <c r="AL36">
        <v>3.6965657811315382</v>
      </c>
      <c r="AM36">
        <v>5.1147601005717158</v>
      </c>
      <c r="AN36">
        <v>5.4562813366410596</v>
      </c>
      <c r="AO36">
        <v>0.02</v>
      </c>
      <c r="AP36">
        <v>0.02</v>
      </c>
      <c r="AQ36">
        <v>0.02</v>
      </c>
      <c r="AS36">
        <f t="shared" si="0"/>
        <v>1.0254664005271346</v>
      </c>
      <c r="AT36" s="1">
        <v>9.8442442509999993E-4</v>
      </c>
      <c r="AU36">
        <f t="shared" si="1"/>
        <v>2.2589590462918778</v>
      </c>
      <c r="AV36">
        <f t="shared" si="2"/>
        <v>0.10623247123228056</v>
      </c>
      <c r="BK36">
        <f t="shared" si="10"/>
        <v>2.1629224590408662</v>
      </c>
      <c r="BL36">
        <f t="shared" si="3"/>
        <v>0.14977676345729865</v>
      </c>
      <c r="BN36" s="1">
        <f t="shared" si="4"/>
        <v>5.0240463247787212E-3</v>
      </c>
      <c r="BO36">
        <f t="shared" si="5"/>
        <v>0.10611360375863123</v>
      </c>
      <c r="BP36">
        <f t="shared" si="6"/>
        <v>-3.808902576926118E-6</v>
      </c>
      <c r="BQ36">
        <f t="shared" si="7"/>
        <v>5.7015744029866128E-5</v>
      </c>
      <c r="BR36">
        <f t="shared" si="8"/>
        <v>1.6826822605654174E-2</v>
      </c>
      <c r="BS36">
        <f t="shared" si="9"/>
        <v>0.14882853774541571</v>
      </c>
    </row>
    <row r="37" spans="1:71" x14ac:dyDescent="0.2">
      <c r="A37">
        <v>26093</v>
      </c>
      <c r="B37" t="s">
        <v>50</v>
      </c>
      <c r="C37" t="s">
        <v>86</v>
      </c>
      <c r="D37">
        <v>43.667000000000002</v>
      </c>
      <c r="E37">
        <v>-79.400000000000006</v>
      </c>
      <c r="F37">
        <v>75</v>
      </c>
      <c r="G37">
        <v>1009</v>
      </c>
      <c r="H37">
        <v>62.27</v>
      </c>
      <c r="I37">
        <v>12.7</v>
      </c>
      <c r="J37">
        <v>39.25</v>
      </c>
      <c r="K37">
        <v>164.51</v>
      </c>
      <c r="L37">
        <v>234.11</v>
      </c>
      <c r="M37">
        <v>407.86</v>
      </c>
      <c r="N37">
        <v>1281.29</v>
      </c>
      <c r="O37">
        <v>0.23849999999999999</v>
      </c>
      <c r="P37">
        <v>0.70240000000000002</v>
      </c>
      <c r="Q37">
        <v>0.01</v>
      </c>
      <c r="R37">
        <v>2.4E-2</v>
      </c>
      <c r="S37">
        <v>326.60000000000002</v>
      </c>
      <c r="T37">
        <v>245.6</v>
      </c>
      <c r="U37">
        <v>383.8</v>
      </c>
      <c r="V37">
        <v>1.18</v>
      </c>
      <c r="W37">
        <v>6.2E-2</v>
      </c>
      <c r="X37">
        <v>80</v>
      </c>
      <c r="Y37">
        <v>61.8</v>
      </c>
      <c r="Z37">
        <v>38.777304656240432</v>
      </c>
      <c r="AA37">
        <v>162.52877424199013</v>
      </c>
      <c r="AB37">
        <v>231.2905679763681</v>
      </c>
      <c r="AC37">
        <v>2.1420223893106209</v>
      </c>
      <c r="AD37">
        <v>0.78500000000000003</v>
      </c>
      <c r="AE37">
        <v>3.2902</v>
      </c>
      <c r="AF37">
        <v>4.6822000000000008</v>
      </c>
      <c r="AG37">
        <v>0.77554609312480871</v>
      </c>
      <c r="AH37">
        <v>3.250575484839803</v>
      </c>
      <c r="AI37">
        <v>4.6258113595273622</v>
      </c>
      <c r="AJ37">
        <v>2.5</v>
      </c>
      <c r="AK37">
        <v>0.17631083861110847</v>
      </c>
      <c r="AL37">
        <v>3.6578351439498396</v>
      </c>
      <c r="AM37">
        <v>5.0908550583527514</v>
      </c>
      <c r="AN37">
        <v>5.4436747900936489</v>
      </c>
      <c r="AO37">
        <v>0.02</v>
      </c>
      <c r="AP37">
        <v>0.02</v>
      </c>
      <c r="AQ37">
        <v>0.02</v>
      </c>
      <c r="AS37">
        <f t="shared" si="0"/>
        <v>1.0254664005271346</v>
      </c>
      <c r="AT37" s="1">
        <v>9.8442442509999993E-4</v>
      </c>
      <c r="AU37">
        <f t="shared" si="1"/>
        <v>2.2555694201104117</v>
      </c>
      <c r="AV37">
        <f t="shared" si="2"/>
        <v>0.10585649851704113</v>
      </c>
      <c r="BK37">
        <f t="shared" si="10"/>
        <v>2.1600078105523912</v>
      </c>
      <c r="BL37">
        <f t="shared" si="3"/>
        <v>0.14932821759545262</v>
      </c>
      <c r="BN37" s="1">
        <f t="shared" si="4"/>
        <v>4.9996304968117668E-3</v>
      </c>
      <c r="BO37">
        <f t="shared" si="5"/>
        <v>0.1057383656634794</v>
      </c>
      <c r="BP37">
        <f t="shared" si="6"/>
        <v>-3.7900645089501261E-6</v>
      </c>
      <c r="BQ37">
        <f t="shared" si="7"/>
        <v>5.6733755598803863E-5</v>
      </c>
      <c r="BR37">
        <f t="shared" si="8"/>
        <v>1.6767269946184667E-2</v>
      </c>
      <c r="BS37">
        <f t="shared" si="9"/>
        <v>0.14838386703312123</v>
      </c>
    </row>
    <row r="38" spans="1:71" x14ac:dyDescent="0.2">
      <c r="A38">
        <v>26093</v>
      </c>
      <c r="B38" t="s">
        <v>50</v>
      </c>
      <c r="C38" t="s">
        <v>87</v>
      </c>
      <c r="D38">
        <v>43.667000000000002</v>
      </c>
      <c r="E38">
        <v>-79.400000000000006</v>
      </c>
      <c r="F38">
        <v>75</v>
      </c>
      <c r="G38">
        <v>1010</v>
      </c>
      <c r="H38">
        <v>62.23</v>
      </c>
      <c r="I38">
        <v>12.7</v>
      </c>
      <c r="J38">
        <v>39.299999999999997</v>
      </c>
      <c r="K38">
        <v>163.86</v>
      </c>
      <c r="L38">
        <v>234.05</v>
      </c>
      <c r="M38">
        <v>390.16</v>
      </c>
      <c r="N38">
        <v>1241.07</v>
      </c>
      <c r="O38">
        <v>0.23980000000000001</v>
      </c>
      <c r="P38">
        <v>0.70020000000000004</v>
      </c>
      <c r="Q38">
        <v>1E-3</v>
      </c>
      <c r="R38">
        <v>8.9999999999999993E-3</v>
      </c>
      <c r="S38">
        <v>326.10000000000002</v>
      </c>
      <c r="T38">
        <v>247.2</v>
      </c>
      <c r="U38">
        <v>381.7</v>
      </c>
      <c r="V38">
        <v>1.19</v>
      </c>
      <c r="W38">
        <v>7.5999999999999998E-2</v>
      </c>
      <c r="X38">
        <v>80</v>
      </c>
      <c r="Y38">
        <v>61.6</v>
      </c>
      <c r="Z38">
        <v>38.826702496566853</v>
      </c>
      <c r="AA38">
        <v>161.88660231774671</v>
      </c>
      <c r="AB38">
        <v>231.2312905679764</v>
      </c>
      <c r="AC38">
        <v>2.1392055715578469</v>
      </c>
      <c r="AD38">
        <v>0.78599999999999992</v>
      </c>
      <c r="AE38">
        <v>3.2772000000000006</v>
      </c>
      <c r="AF38">
        <v>4.681</v>
      </c>
      <c r="AG38">
        <v>0.77653404993133701</v>
      </c>
      <c r="AH38">
        <v>3.2377320463549339</v>
      </c>
      <c r="AI38">
        <v>4.624625811359528</v>
      </c>
      <c r="AJ38">
        <v>2.5</v>
      </c>
      <c r="AK38">
        <v>0.17578471361344966</v>
      </c>
      <c r="AL38">
        <v>3.6591082185966379</v>
      </c>
      <c r="AM38">
        <v>5.0868961044350911</v>
      </c>
      <c r="AN38">
        <v>5.4434184674675015</v>
      </c>
      <c r="AO38">
        <v>0.02</v>
      </c>
      <c r="AP38">
        <v>0.02</v>
      </c>
      <c r="AQ38">
        <v>0.02</v>
      </c>
      <c r="AS38">
        <f t="shared" si="0"/>
        <v>1.0254664005271346</v>
      </c>
      <c r="AT38" s="1">
        <v>9.8442442509999993E-4</v>
      </c>
      <c r="AU38">
        <f t="shared" si="1"/>
        <v>2.2521917696508376</v>
      </c>
      <c r="AV38">
        <f t="shared" si="2"/>
        <v>0.10548252273108924</v>
      </c>
      <c r="BK38">
        <f t="shared" si="10"/>
        <v>2.1571021590150004</v>
      </c>
      <c r="BL38">
        <f t="shared" si="3"/>
        <v>0.1488815778446361</v>
      </c>
      <c r="BN38" s="1">
        <f t="shared" si="4"/>
        <v>4.9753758889011955E-3</v>
      </c>
      <c r="BO38">
        <f t="shared" si="5"/>
        <v>0.10536511868962564</v>
      </c>
      <c r="BP38">
        <f t="shared" si="6"/>
        <v>-3.7713445818632676E-6</v>
      </c>
      <c r="BQ38">
        <f t="shared" si="7"/>
        <v>5.6453535627437867E-5</v>
      </c>
      <c r="BR38">
        <f t="shared" si="8"/>
        <v>1.6708033592779472E-2</v>
      </c>
      <c r="BS38">
        <f t="shared" si="9"/>
        <v>0.14794107824991093</v>
      </c>
    </row>
    <row r="39" spans="1:71" x14ac:dyDescent="0.2">
      <c r="A39">
        <v>26093</v>
      </c>
      <c r="B39" t="s">
        <v>50</v>
      </c>
      <c r="C39" t="s">
        <v>88</v>
      </c>
      <c r="D39">
        <v>43.667000000000002</v>
      </c>
      <c r="E39">
        <v>-79.400000000000006</v>
      </c>
      <c r="F39">
        <v>75</v>
      </c>
      <c r="G39">
        <v>1009</v>
      </c>
      <c r="H39">
        <v>62.18</v>
      </c>
      <c r="I39">
        <v>12.7</v>
      </c>
      <c r="J39">
        <v>42.65</v>
      </c>
      <c r="K39">
        <v>174.01</v>
      </c>
      <c r="L39">
        <v>242.85</v>
      </c>
      <c r="M39">
        <v>443.55</v>
      </c>
      <c r="N39">
        <v>1343.21</v>
      </c>
      <c r="O39">
        <v>0.24510000000000001</v>
      </c>
      <c r="P39">
        <v>0.71650000000000003</v>
      </c>
      <c r="Q39">
        <v>4.0000000000000001E-3</v>
      </c>
      <c r="R39">
        <v>6.0000000000000001E-3</v>
      </c>
      <c r="S39">
        <v>323</v>
      </c>
      <c r="T39">
        <v>238.4</v>
      </c>
      <c r="U39">
        <v>382.8</v>
      </c>
      <c r="V39">
        <v>1.1399999999999999</v>
      </c>
      <c r="W39">
        <v>0.04</v>
      </c>
      <c r="X39">
        <v>80</v>
      </c>
      <c r="Y39">
        <v>60.9</v>
      </c>
      <c r="Z39">
        <v>42.136357798437054</v>
      </c>
      <c r="AA39">
        <v>171.91436390401012</v>
      </c>
      <c r="AB39">
        <v>239.92531046542646</v>
      </c>
      <c r="AC39">
        <v>2.1356963586090325</v>
      </c>
      <c r="AD39">
        <v>0.85299999999999998</v>
      </c>
      <c r="AE39">
        <v>3.4802</v>
      </c>
      <c r="AF39">
        <v>4.8570000000000002</v>
      </c>
      <c r="AG39">
        <v>0.84272715596874104</v>
      </c>
      <c r="AH39">
        <v>3.4382872780802027</v>
      </c>
      <c r="AI39">
        <v>4.7985062093085293</v>
      </c>
      <c r="AJ39">
        <v>2.5</v>
      </c>
      <c r="AK39">
        <v>0.17513018267492308</v>
      </c>
      <c r="AL39">
        <v>3.7409109736591102</v>
      </c>
      <c r="AM39">
        <v>5.1469964685489087</v>
      </c>
      <c r="AN39">
        <v>5.4803276685131763</v>
      </c>
      <c r="AO39">
        <v>0.02</v>
      </c>
      <c r="AP39">
        <v>2.0000000000000004E-2</v>
      </c>
      <c r="AQ39">
        <v>0.02</v>
      </c>
      <c r="AS39">
        <f t="shared" si="0"/>
        <v>1.0254664005271346</v>
      </c>
      <c r="AT39" s="1">
        <v>9.8442442509999993E-4</v>
      </c>
      <c r="AU39">
        <f t="shared" si="1"/>
        <v>2.2479864507698535</v>
      </c>
      <c r="AV39">
        <f t="shared" si="2"/>
        <v>0.1050178388125748</v>
      </c>
      <c r="BK39">
        <f t="shared" si="10"/>
        <v>2.1534826855130853</v>
      </c>
      <c r="BL39">
        <f t="shared" si="3"/>
        <v>0.14832594211701114</v>
      </c>
      <c r="BN39" s="1">
        <f t="shared" si="4"/>
        <v>4.9452822698617342E-3</v>
      </c>
      <c r="BO39">
        <f t="shared" si="5"/>
        <v>0.10490133770422251</v>
      </c>
      <c r="BP39">
        <f t="shared" si="6"/>
        <v>-3.7481093957962885E-6</v>
      </c>
      <c r="BQ39">
        <f t="shared" si="7"/>
        <v>5.6105726410865486E-5</v>
      </c>
      <c r="BR39">
        <f t="shared" si="8"/>
        <v>1.6634429413437304E-2</v>
      </c>
      <c r="BS39">
        <f t="shared" si="9"/>
        <v>0.14739022254236353</v>
      </c>
    </row>
    <row r="40" spans="1:71" x14ac:dyDescent="0.2">
      <c r="A40">
        <v>26093</v>
      </c>
      <c r="B40" t="s">
        <v>50</v>
      </c>
      <c r="C40" t="s">
        <v>89</v>
      </c>
      <c r="D40">
        <v>43.667000000000002</v>
      </c>
      <c r="E40">
        <v>-79.400000000000006</v>
      </c>
      <c r="F40">
        <v>75</v>
      </c>
      <c r="G40">
        <v>1010</v>
      </c>
      <c r="H40">
        <v>61.29</v>
      </c>
      <c r="I40">
        <v>12.2</v>
      </c>
      <c r="J40">
        <v>48.8</v>
      </c>
      <c r="K40">
        <v>187.11</v>
      </c>
      <c r="L40">
        <v>258.60000000000002</v>
      </c>
      <c r="M40">
        <v>445.11</v>
      </c>
      <c r="N40">
        <v>1330.53</v>
      </c>
      <c r="O40">
        <v>0.26079999999999998</v>
      </c>
      <c r="P40">
        <v>0.72350000000000003</v>
      </c>
      <c r="Q40">
        <v>1.4999999999999999E-2</v>
      </c>
      <c r="R40">
        <v>0.01</v>
      </c>
      <c r="S40">
        <v>322.2</v>
      </c>
      <c r="T40">
        <v>243.3</v>
      </c>
      <c r="U40">
        <v>377.9</v>
      </c>
      <c r="V40">
        <v>1.1499999999999999</v>
      </c>
      <c r="W40">
        <v>4.5999999999999999E-2</v>
      </c>
      <c r="X40">
        <v>80</v>
      </c>
      <c r="Y40">
        <v>60.4</v>
      </c>
      <c r="Z40">
        <v>48.212292158586827</v>
      </c>
      <c r="AA40">
        <v>184.85659806953242</v>
      </c>
      <c r="AB40">
        <v>255.48563016824909</v>
      </c>
      <c r="AC40">
        <v>2.0753543444039266</v>
      </c>
      <c r="AD40">
        <v>0.97599999999999998</v>
      </c>
      <c r="AE40">
        <v>3.7422000000000004</v>
      </c>
      <c r="AF40">
        <v>5.1720000000000006</v>
      </c>
      <c r="AG40">
        <v>0.96424584317173656</v>
      </c>
      <c r="AH40">
        <v>3.6971319613906486</v>
      </c>
      <c r="AI40">
        <v>5.109712603364982</v>
      </c>
      <c r="AJ40">
        <v>2.5</v>
      </c>
      <c r="AK40">
        <v>0.1640347621379927</v>
      </c>
      <c r="AL40">
        <v>3.8756140125805234</v>
      </c>
      <c r="AM40">
        <v>5.2195803789275628</v>
      </c>
      <c r="AN40">
        <v>5.5431661660591791</v>
      </c>
      <c r="AO40">
        <v>0.02</v>
      </c>
      <c r="AP40">
        <v>0.02</v>
      </c>
      <c r="AQ40">
        <v>0.02</v>
      </c>
      <c r="AS40">
        <f t="shared" si="0"/>
        <v>1.0254664005271346</v>
      </c>
      <c r="AT40" s="1">
        <v>9.8442442509999993E-4</v>
      </c>
      <c r="AU40">
        <f t="shared" si="1"/>
        <v>2.17611532571935</v>
      </c>
      <c r="AV40">
        <f t="shared" si="2"/>
        <v>9.7234825322145974E-2</v>
      </c>
      <c r="BK40">
        <f t="shared" si="10"/>
        <v>2.0913145036518368</v>
      </c>
      <c r="BL40">
        <f t="shared" si="3"/>
        <v>0.13890875890302018</v>
      </c>
      <c r="BN40" s="1">
        <f t="shared" si="4"/>
        <v>4.4486533814458232E-3</v>
      </c>
      <c r="BO40">
        <f t="shared" si="5"/>
        <v>9.7133005402489175E-2</v>
      </c>
      <c r="BP40">
        <f t="shared" si="6"/>
        <v>-3.3632814216334086E-6</v>
      </c>
      <c r="BQ40">
        <f t="shared" si="7"/>
        <v>5.0345208039164353E-5</v>
      </c>
      <c r="BR40">
        <f t="shared" si="8"/>
        <v>1.5401629443506228E-2</v>
      </c>
      <c r="BS40">
        <f t="shared" si="9"/>
        <v>0.13805227475311907</v>
      </c>
    </row>
    <row r="41" spans="1:71" x14ac:dyDescent="0.2">
      <c r="A41">
        <v>26093</v>
      </c>
      <c r="B41" t="s">
        <v>50</v>
      </c>
      <c r="C41" t="s">
        <v>90</v>
      </c>
      <c r="D41">
        <v>43.667000000000002</v>
      </c>
      <c r="E41">
        <v>-79.400000000000006</v>
      </c>
      <c r="F41">
        <v>75</v>
      </c>
      <c r="G41">
        <v>1009</v>
      </c>
      <c r="H41">
        <v>61.24</v>
      </c>
      <c r="I41">
        <v>12.2</v>
      </c>
      <c r="J41">
        <v>45.87</v>
      </c>
      <c r="K41">
        <v>184.64</v>
      </c>
      <c r="L41">
        <v>258.57</v>
      </c>
      <c r="M41">
        <v>437.3</v>
      </c>
      <c r="N41">
        <v>1309.93</v>
      </c>
      <c r="O41">
        <v>0.2485</v>
      </c>
      <c r="P41">
        <v>0.71409999999999996</v>
      </c>
      <c r="Q41">
        <v>3.3000000000000002E-2</v>
      </c>
      <c r="R41">
        <v>2E-3</v>
      </c>
      <c r="S41">
        <v>331.4</v>
      </c>
      <c r="T41">
        <v>249.5</v>
      </c>
      <c r="U41">
        <v>389.2</v>
      </c>
      <c r="V41">
        <v>1.1499999999999999</v>
      </c>
      <c r="W41">
        <v>5.2999999999999999E-2</v>
      </c>
      <c r="X41">
        <v>80</v>
      </c>
      <c r="Y41">
        <v>60.3</v>
      </c>
      <c r="Z41">
        <v>45.317578715458559</v>
      </c>
      <c r="AA41">
        <v>182.41634475740722</v>
      </c>
      <c r="AB41">
        <v>255.4559914640532</v>
      </c>
      <c r="AC41">
        <v>2.0720795317540719</v>
      </c>
      <c r="AD41">
        <v>0.91739999999999999</v>
      </c>
      <c r="AE41">
        <v>3.6927999999999996</v>
      </c>
      <c r="AF41">
        <v>5.1714000000000002</v>
      </c>
      <c r="AG41">
        <v>0.90635157430917124</v>
      </c>
      <c r="AH41">
        <v>3.648326895148144</v>
      </c>
      <c r="AI41">
        <v>5.109119829281064</v>
      </c>
      <c r="AJ41">
        <v>2.5</v>
      </c>
      <c r="AK41">
        <v>0.16344121619405538</v>
      </c>
      <c r="AL41">
        <v>3.8136950083305026</v>
      </c>
      <c r="AM41">
        <v>5.2062916830411572</v>
      </c>
      <c r="AN41">
        <v>5.5430501500488401</v>
      </c>
      <c r="AO41">
        <v>0.02</v>
      </c>
      <c r="AP41">
        <v>1.9999999999999997E-2</v>
      </c>
      <c r="AQ41">
        <v>0.02</v>
      </c>
      <c r="AS41">
        <f t="shared" si="0"/>
        <v>1.0254664005271346</v>
      </c>
      <c r="AT41" s="1">
        <v>9.8442442509999993E-4</v>
      </c>
      <c r="AU41">
        <f t="shared" si="1"/>
        <v>2.172238226956138</v>
      </c>
      <c r="AV41">
        <f t="shared" si="2"/>
        <v>9.6823432897718956E-2</v>
      </c>
      <c r="BK41">
        <f t="shared" si="10"/>
        <v>2.0879442911541788</v>
      </c>
      <c r="BL41">
        <f t="shared" si="3"/>
        <v>0.13840508360698606</v>
      </c>
      <c r="BN41" s="1">
        <f t="shared" si="4"/>
        <v>4.4228010969700566E-3</v>
      </c>
      <c r="BO41">
        <f t="shared" si="5"/>
        <v>9.6722365503309135E-2</v>
      </c>
      <c r="BP41">
        <f t="shared" si="6"/>
        <v>-3.3431778292594813E-6</v>
      </c>
      <c r="BQ41">
        <f t="shared" si="7"/>
        <v>5.0044275879907708E-5</v>
      </c>
      <c r="BR41">
        <f t="shared" si="8"/>
        <v>1.533646643574745E-2</v>
      </c>
      <c r="BS41">
        <f t="shared" si="9"/>
        <v>0.13755274424712727</v>
      </c>
    </row>
    <row r="42" spans="1:71" x14ac:dyDescent="0.2">
      <c r="A42">
        <v>26093</v>
      </c>
      <c r="B42" t="s">
        <v>50</v>
      </c>
      <c r="C42" t="s">
        <v>91</v>
      </c>
      <c r="D42">
        <v>43.667000000000002</v>
      </c>
      <c r="E42">
        <v>-79.400000000000006</v>
      </c>
      <c r="F42">
        <v>75</v>
      </c>
      <c r="G42">
        <v>1008</v>
      </c>
      <c r="H42">
        <v>61.19</v>
      </c>
      <c r="I42">
        <v>12.2</v>
      </c>
      <c r="J42">
        <v>50.85</v>
      </c>
      <c r="K42">
        <v>194.01</v>
      </c>
      <c r="L42">
        <v>261.75</v>
      </c>
      <c r="M42">
        <v>459.3</v>
      </c>
      <c r="N42">
        <v>1358.12</v>
      </c>
      <c r="O42">
        <v>0.2621</v>
      </c>
      <c r="P42">
        <v>0.74119999999999997</v>
      </c>
      <c r="Q42">
        <v>2E-3</v>
      </c>
      <c r="R42">
        <v>0</v>
      </c>
      <c r="S42">
        <v>322.60000000000002</v>
      </c>
      <c r="T42">
        <v>234.2</v>
      </c>
      <c r="U42">
        <v>385</v>
      </c>
      <c r="V42">
        <v>1.1399999999999999</v>
      </c>
      <c r="W42">
        <v>3.5999999999999997E-2</v>
      </c>
      <c r="X42">
        <v>80</v>
      </c>
      <c r="Y42">
        <v>60.1</v>
      </c>
      <c r="Z42">
        <v>50.237603611970087</v>
      </c>
      <c r="AA42">
        <v>191.6735000345785</v>
      </c>
      <c r="AB42">
        <v>258.59769410881358</v>
      </c>
      <c r="AC42">
        <v>2.0688165602831603</v>
      </c>
      <c r="AD42">
        <v>1.0170000000000001</v>
      </c>
      <c r="AE42">
        <v>3.8801999999999999</v>
      </c>
      <c r="AF42">
        <v>5.2350000000000003</v>
      </c>
      <c r="AG42">
        <v>1.0047520722394019</v>
      </c>
      <c r="AH42">
        <v>3.8334700006915701</v>
      </c>
      <c r="AI42">
        <v>5.1719538821762718</v>
      </c>
      <c r="AJ42">
        <v>2.5</v>
      </c>
      <c r="AK42">
        <v>0.16285069721345111</v>
      </c>
      <c r="AL42">
        <v>3.9167638222159913</v>
      </c>
      <c r="AM42">
        <v>5.255793403848033</v>
      </c>
      <c r="AN42">
        <v>5.5552735494720684</v>
      </c>
      <c r="AO42">
        <v>2.0000000000000004E-2</v>
      </c>
      <c r="AP42">
        <v>0.02</v>
      </c>
      <c r="AQ42">
        <v>0.02</v>
      </c>
      <c r="AS42">
        <f t="shared" si="0"/>
        <v>1.0254664005271346</v>
      </c>
      <c r="AT42" s="1">
        <v>9.8442442509999993E-4</v>
      </c>
      <c r="AU42">
        <f t="shared" si="1"/>
        <v>2.1683775020107658</v>
      </c>
      <c r="AV42">
        <f t="shared" si="2"/>
        <v>9.6414632711028542E-2</v>
      </c>
      <c r="BK42">
        <f t="shared" si="10"/>
        <v>2.0845866377883633</v>
      </c>
      <c r="BL42">
        <f t="shared" si="3"/>
        <v>0.13790398625660241</v>
      </c>
      <c r="BN42" s="1">
        <f t="shared" si="4"/>
        <v>4.3971522771911881E-3</v>
      </c>
      <c r="BO42">
        <f t="shared" si="5"/>
        <v>9.6314310736534514E-2</v>
      </c>
      <c r="BP42">
        <f t="shared" si="6"/>
        <v>-3.3232255309677786E-6</v>
      </c>
      <c r="BQ42">
        <f t="shared" si="7"/>
        <v>4.9745608452943661E-5</v>
      </c>
      <c r="BR42">
        <f t="shared" si="8"/>
        <v>1.5271714028665086E-2</v>
      </c>
      <c r="BS42">
        <f t="shared" si="9"/>
        <v>0.13705576124489796</v>
      </c>
    </row>
    <row r="43" spans="1:71" x14ac:dyDescent="0.2">
      <c r="A43">
        <v>26093</v>
      </c>
      <c r="B43" t="s">
        <v>50</v>
      </c>
      <c r="C43" t="s">
        <v>92</v>
      </c>
      <c r="D43">
        <v>43.667000000000002</v>
      </c>
      <c r="E43">
        <v>-79.400000000000006</v>
      </c>
      <c r="F43">
        <v>75</v>
      </c>
      <c r="G43">
        <v>1009</v>
      </c>
      <c r="H43">
        <v>61.14</v>
      </c>
      <c r="I43">
        <v>12.2</v>
      </c>
      <c r="J43">
        <v>50.93</v>
      </c>
      <c r="K43">
        <v>194.93</v>
      </c>
      <c r="L43">
        <v>264.83999999999997</v>
      </c>
      <c r="M43">
        <v>454.7</v>
      </c>
      <c r="N43">
        <v>1349.7</v>
      </c>
      <c r="O43">
        <v>0.26129999999999998</v>
      </c>
      <c r="P43">
        <v>0.73599999999999999</v>
      </c>
      <c r="Q43">
        <v>2E-3</v>
      </c>
      <c r="R43">
        <v>2E-3</v>
      </c>
      <c r="S43">
        <v>323.7</v>
      </c>
      <c r="T43">
        <v>237.6</v>
      </c>
      <c r="U43">
        <v>384.4</v>
      </c>
      <c r="V43">
        <v>1.1499999999999999</v>
      </c>
      <c r="W43">
        <v>3.9E-2</v>
      </c>
      <c r="X43">
        <v>80</v>
      </c>
      <c r="Y43">
        <v>60.3</v>
      </c>
      <c r="Z43">
        <v>50.316640156492362</v>
      </c>
      <c r="AA43">
        <v>192.58242029658464</v>
      </c>
      <c r="AB43">
        <v>261.65048064098636</v>
      </c>
      <c r="AC43">
        <v>2.0655653696525116</v>
      </c>
      <c r="AD43">
        <v>1.0185999999999999</v>
      </c>
      <c r="AE43">
        <v>3.8986000000000001</v>
      </c>
      <c r="AF43">
        <v>5.2967999999999993</v>
      </c>
      <c r="AG43">
        <v>1.0063328031298473</v>
      </c>
      <c r="AH43">
        <v>3.8516484059316931</v>
      </c>
      <c r="AI43">
        <v>5.2330096128197274</v>
      </c>
      <c r="AJ43">
        <v>2.5</v>
      </c>
      <c r="AK43">
        <v>0.16226318456494962</v>
      </c>
      <c r="AL43">
        <v>3.9183358406179356</v>
      </c>
      <c r="AM43">
        <v>5.2605242194794757</v>
      </c>
      <c r="AN43">
        <v>5.567009569778067</v>
      </c>
      <c r="AO43">
        <v>0.02</v>
      </c>
      <c r="AP43">
        <v>0.02</v>
      </c>
      <c r="AQ43">
        <v>0.02</v>
      </c>
      <c r="AS43">
        <f t="shared" si="0"/>
        <v>1.0254664005271346</v>
      </c>
      <c r="AT43" s="1">
        <v>9.8442442509999993E-4</v>
      </c>
      <c r="AU43">
        <f t="shared" si="1"/>
        <v>2.1645330479291172</v>
      </c>
      <c r="AV43">
        <f t="shared" si="2"/>
        <v>9.6008402163407364E-2</v>
      </c>
      <c r="BK43">
        <f t="shared" si="10"/>
        <v>2.0812414764655842</v>
      </c>
      <c r="BL43">
        <f t="shared" si="3"/>
        <v>0.1374054491804336</v>
      </c>
      <c r="BN43" s="1">
        <f t="shared" si="4"/>
        <v>4.3717048753975866E-3</v>
      </c>
      <c r="BO43">
        <f t="shared" si="5"/>
        <v>9.5908818585430336E-2</v>
      </c>
      <c r="BP43">
        <f t="shared" si="6"/>
        <v>-3.303423104305853E-6</v>
      </c>
      <c r="BQ43">
        <f t="shared" si="7"/>
        <v>4.944918446547645E-5</v>
      </c>
      <c r="BR43">
        <f t="shared" si="8"/>
        <v>1.5207368642715501E-2</v>
      </c>
      <c r="BS43">
        <f t="shared" si="9"/>
        <v>0.13656130838310984</v>
      </c>
    </row>
    <row r="44" spans="1:71" x14ac:dyDescent="0.2">
      <c r="A44">
        <v>26093</v>
      </c>
      <c r="B44" t="s">
        <v>50</v>
      </c>
      <c r="C44" t="s">
        <v>93</v>
      </c>
      <c r="D44">
        <v>43.667000000000002</v>
      </c>
      <c r="E44">
        <v>-79.400000000000006</v>
      </c>
      <c r="F44">
        <v>75</v>
      </c>
      <c r="G44">
        <v>1008</v>
      </c>
      <c r="H44">
        <v>61.09</v>
      </c>
      <c r="I44">
        <v>12.2</v>
      </c>
      <c r="J44">
        <v>50.8</v>
      </c>
      <c r="K44">
        <v>195.14</v>
      </c>
      <c r="L44">
        <v>266.08</v>
      </c>
      <c r="M44">
        <v>451.73</v>
      </c>
      <c r="N44">
        <v>1337.57</v>
      </c>
      <c r="O44">
        <v>0.26040000000000002</v>
      </c>
      <c r="P44">
        <v>0.73340000000000005</v>
      </c>
      <c r="Q44">
        <v>4.0000000000000001E-3</v>
      </c>
      <c r="R44">
        <v>1E-3</v>
      </c>
      <c r="S44">
        <v>324.8</v>
      </c>
      <c r="T44">
        <v>239.7</v>
      </c>
      <c r="U44">
        <v>384.9</v>
      </c>
      <c r="V44">
        <v>1.1499999999999999</v>
      </c>
      <c r="W44">
        <v>4.2999999999999997E-2</v>
      </c>
      <c r="X44">
        <v>80</v>
      </c>
      <c r="Y44">
        <v>59.7</v>
      </c>
      <c r="Z44">
        <v>50.188205771643666</v>
      </c>
      <c r="AA44">
        <v>192.78989122595561</v>
      </c>
      <c r="AB44">
        <v>262.87554708108161</v>
      </c>
      <c r="AC44">
        <v>2.0623258999343941</v>
      </c>
      <c r="AD44">
        <v>1.016</v>
      </c>
      <c r="AE44">
        <v>3.9027999999999996</v>
      </c>
      <c r="AF44">
        <v>5.3216000000000001</v>
      </c>
      <c r="AG44">
        <v>1.0037641154328734</v>
      </c>
      <c r="AH44">
        <v>3.855797824519112</v>
      </c>
      <c r="AI44">
        <v>5.257510941621633</v>
      </c>
      <c r="AJ44">
        <v>2.5</v>
      </c>
      <c r="AK44">
        <v>0.16167865779177204</v>
      </c>
      <c r="AL44">
        <v>3.9157800543058583</v>
      </c>
      <c r="AM44">
        <v>5.2616009494012266</v>
      </c>
      <c r="AN44">
        <v>5.5716807151660399</v>
      </c>
      <c r="AO44">
        <v>0.02</v>
      </c>
      <c r="AP44">
        <v>1.9999999999999997E-2</v>
      </c>
      <c r="AQ44">
        <v>2.0000000000000004E-2</v>
      </c>
      <c r="AS44">
        <f t="shared" si="0"/>
        <v>1.0254664005271346</v>
      </c>
      <c r="AT44" s="1">
        <v>9.8442442509999993E-4</v>
      </c>
      <c r="AU44">
        <f t="shared" si="1"/>
        <v>2.1607047626527107</v>
      </c>
      <c r="AV44">
        <f t="shared" si="2"/>
        <v>9.5604718908254852E-2</v>
      </c>
      <c r="BK44">
        <f t="shared" si="10"/>
        <v>2.0779087405847592</v>
      </c>
      <c r="BL44">
        <f t="shared" si="3"/>
        <v>0.13690945485781938</v>
      </c>
      <c r="BN44" s="1">
        <f t="shared" si="4"/>
        <v>4.3464568700391356E-3</v>
      </c>
      <c r="BO44">
        <f t="shared" si="5"/>
        <v>9.5505866784210247E-2</v>
      </c>
      <c r="BP44">
        <f t="shared" si="6"/>
        <v>-3.2837691429995161E-6</v>
      </c>
      <c r="BQ44">
        <f t="shared" si="7"/>
        <v>4.9154982866883893E-5</v>
      </c>
      <c r="BR44">
        <f t="shared" si="8"/>
        <v>1.5143426738281481E-2</v>
      </c>
      <c r="BS44">
        <f t="shared" si="9"/>
        <v>0.13606936844526069</v>
      </c>
    </row>
    <row r="45" spans="1:71" x14ac:dyDescent="0.2">
      <c r="A45">
        <v>26093</v>
      </c>
      <c r="B45" t="s">
        <v>50</v>
      </c>
      <c r="C45" t="s">
        <v>94</v>
      </c>
      <c r="D45">
        <v>43.667000000000002</v>
      </c>
      <c r="E45">
        <v>-79.400000000000006</v>
      </c>
      <c r="F45">
        <v>75</v>
      </c>
      <c r="G45">
        <v>1009</v>
      </c>
      <c r="H45">
        <v>61.04</v>
      </c>
      <c r="I45">
        <v>12.2</v>
      </c>
      <c r="J45">
        <v>50.07</v>
      </c>
      <c r="K45">
        <v>192.58</v>
      </c>
      <c r="L45">
        <v>265.5</v>
      </c>
      <c r="M45">
        <v>440.66</v>
      </c>
      <c r="N45">
        <v>1312.12</v>
      </c>
      <c r="O45">
        <v>0.26</v>
      </c>
      <c r="P45">
        <v>0.72540000000000004</v>
      </c>
      <c r="Q45">
        <v>0</v>
      </c>
      <c r="R45">
        <v>1E-3</v>
      </c>
      <c r="S45">
        <v>325.60000000000002</v>
      </c>
      <c r="T45">
        <v>244.8</v>
      </c>
      <c r="U45">
        <v>382.6</v>
      </c>
      <c r="V45">
        <v>1.1499999999999999</v>
      </c>
      <c r="W45">
        <v>5.2999999999999999E-2</v>
      </c>
      <c r="X45">
        <v>80</v>
      </c>
      <c r="Y45">
        <v>60.1</v>
      </c>
      <c r="Z45">
        <v>49.466997302877921</v>
      </c>
      <c r="AA45">
        <v>190.26072180124288</v>
      </c>
      <c r="AB45">
        <v>262.30253213329513</v>
      </c>
      <c r="AC45">
        <v>2.0590980916085502</v>
      </c>
      <c r="AD45">
        <v>1.0014000000000001</v>
      </c>
      <c r="AE45">
        <v>3.8516000000000004</v>
      </c>
      <c r="AF45">
        <v>5.3100000000000005</v>
      </c>
      <c r="AG45">
        <v>0.98933994605755848</v>
      </c>
      <c r="AH45">
        <v>3.8052144360248574</v>
      </c>
      <c r="AI45">
        <v>5.2460506426659039</v>
      </c>
      <c r="AJ45">
        <v>2.5</v>
      </c>
      <c r="AK45">
        <v>0.16109709660983065</v>
      </c>
      <c r="AL45">
        <v>3.9013057260632755</v>
      </c>
      <c r="AM45">
        <v>5.24839535153356</v>
      </c>
      <c r="AN45">
        <v>5.5694985404034156</v>
      </c>
      <c r="AO45">
        <v>0.02</v>
      </c>
      <c r="AP45">
        <v>0.02</v>
      </c>
      <c r="AQ45">
        <v>2.0000000000000004E-2</v>
      </c>
      <c r="AS45">
        <f t="shared" si="0"/>
        <v>1.0254664005271346</v>
      </c>
      <c r="AT45" s="1">
        <v>9.8442442509999993E-4</v>
      </c>
      <c r="AU45">
        <f t="shared" si="1"/>
        <v>2.1568925450087337</v>
      </c>
      <c r="AV45">
        <f t="shared" si="2"/>
        <v>9.520356084760126E-2</v>
      </c>
      <c r="BK45">
        <f t="shared" si="10"/>
        <v>2.0745883640280227</v>
      </c>
      <c r="BL45">
        <f t="shared" si="3"/>
        <v>0.13641598591733198</v>
      </c>
      <c r="BN45" s="1">
        <f t="shared" si="4"/>
        <v>4.3214062643604414E-3</v>
      </c>
      <c r="BO45">
        <f t="shared" si="5"/>
        <v>9.5105433314618057E-2</v>
      </c>
      <c r="BP45">
        <f t="shared" si="6"/>
        <v>-3.2642622567361365E-6</v>
      </c>
      <c r="BQ45">
        <f t="shared" si="7"/>
        <v>4.8862982845473492E-5</v>
      </c>
      <c r="BR45">
        <f t="shared" si="8"/>
        <v>1.5079884815127998E-2</v>
      </c>
      <c r="BS45">
        <f t="shared" si="9"/>
        <v>0.13557992436018573</v>
      </c>
    </row>
    <row r="46" spans="1:71" x14ac:dyDescent="0.2">
      <c r="A46">
        <v>26093</v>
      </c>
      <c r="B46" t="s">
        <v>50</v>
      </c>
      <c r="C46" t="s">
        <v>95</v>
      </c>
      <c r="D46">
        <v>43.667000000000002</v>
      </c>
      <c r="E46">
        <v>-79.400000000000006</v>
      </c>
      <c r="F46">
        <v>75</v>
      </c>
      <c r="G46">
        <v>1008</v>
      </c>
      <c r="H46">
        <v>60.99</v>
      </c>
      <c r="I46">
        <v>12.3</v>
      </c>
      <c r="J46">
        <v>50.54</v>
      </c>
      <c r="K46">
        <v>195.2</v>
      </c>
      <c r="L46">
        <v>266.31</v>
      </c>
      <c r="M46">
        <v>450.21</v>
      </c>
      <c r="N46">
        <v>1313.2</v>
      </c>
      <c r="O46">
        <v>0.25890000000000002</v>
      </c>
      <c r="P46">
        <v>0.73299999999999998</v>
      </c>
      <c r="Q46">
        <v>3.6999999999999998E-2</v>
      </c>
      <c r="R46">
        <v>2E-3</v>
      </c>
      <c r="S46">
        <v>327</v>
      </c>
      <c r="T46">
        <v>241</v>
      </c>
      <c r="U46">
        <v>387.7</v>
      </c>
      <c r="V46">
        <v>1.1200000000000001</v>
      </c>
      <c r="W46">
        <v>5.1999999999999998E-2</v>
      </c>
      <c r="X46">
        <v>80</v>
      </c>
      <c r="Y46">
        <v>60</v>
      </c>
      <c r="Z46">
        <v>49.931337001946275</v>
      </c>
      <c r="AA46">
        <v>192.84916863434731</v>
      </c>
      <c r="AB46">
        <v>263.10277714658315</v>
      </c>
      <c r="AC46">
        <v>2.0558818855587635</v>
      </c>
      <c r="AD46">
        <v>1.0107999999999999</v>
      </c>
      <c r="AE46">
        <v>3.9039999999999999</v>
      </c>
      <c r="AF46">
        <v>5.3262</v>
      </c>
      <c r="AG46">
        <v>0.99862674003892549</v>
      </c>
      <c r="AH46">
        <v>3.8569833726869462</v>
      </c>
      <c r="AI46">
        <v>5.2620555429316633</v>
      </c>
      <c r="AJ46">
        <v>2.5</v>
      </c>
      <c r="AK46">
        <v>0.16051848090598902</v>
      </c>
      <c r="AL46">
        <v>3.9106488016814702</v>
      </c>
      <c r="AM46">
        <v>5.2619083737004146</v>
      </c>
      <c r="AN46">
        <v>5.5725447434697601</v>
      </c>
      <c r="AO46">
        <v>0.02</v>
      </c>
      <c r="AP46">
        <v>0.02</v>
      </c>
      <c r="AQ46">
        <v>0.02</v>
      </c>
      <c r="AS46">
        <f t="shared" si="0"/>
        <v>1.0254664005271346</v>
      </c>
      <c r="AT46" s="1">
        <v>9.8442442509999993E-4</v>
      </c>
      <c r="AU46">
        <f t="shared" si="1"/>
        <v>2.1530962947002137</v>
      </c>
      <c r="AV46">
        <f t="shared" si="2"/>
        <v>9.4804906128727023E-2</v>
      </c>
      <c r="BK46">
        <f t="shared" si="10"/>
        <v>2.071280281156282</v>
      </c>
      <c r="BL46">
        <f t="shared" si="3"/>
        <v>0.13592502513525148</v>
      </c>
      <c r="BN46" s="1">
        <f t="shared" si="4"/>
        <v>4.2965510860402348E-3</v>
      </c>
      <c r="BO46">
        <f t="shared" si="5"/>
        <v>9.4707496402564609E-2</v>
      </c>
      <c r="BP46">
        <f t="shared" si="6"/>
        <v>-3.2449010709511739E-6</v>
      </c>
      <c r="BQ46">
        <f t="shared" si="7"/>
        <v>4.8573163825287108E-5</v>
      </c>
      <c r="BR46">
        <f t="shared" si="8"/>
        <v>1.5016739411866728E-2</v>
      </c>
      <c r="BS46">
        <f t="shared" si="9"/>
        <v>0.13509295920059344</v>
      </c>
    </row>
    <row r="47" spans="1:71" x14ac:dyDescent="0.2">
      <c r="A47">
        <v>26093</v>
      </c>
      <c r="B47" t="s">
        <v>50</v>
      </c>
      <c r="C47" t="s">
        <v>96</v>
      </c>
      <c r="D47">
        <v>43.667000000000002</v>
      </c>
      <c r="E47">
        <v>-79.400000000000006</v>
      </c>
      <c r="F47">
        <v>75</v>
      </c>
      <c r="G47">
        <v>1009</v>
      </c>
      <c r="H47">
        <v>60.94</v>
      </c>
      <c r="I47">
        <v>12.3</v>
      </c>
      <c r="J47">
        <v>49.61</v>
      </c>
      <c r="K47">
        <v>194.1</v>
      </c>
      <c r="L47">
        <v>265.77</v>
      </c>
      <c r="M47">
        <v>436.73</v>
      </c>
      <c r="N47">
        <v>1303.81</v>
      </c>
      <c r="O47">
        <v>0.25569999999999998</v>
      </c>
      <c r="P47">
        <v>0.73019999999999996</v>
      </c>
      <c r="Q47">
        <v>2.3E-2</v>
      </c>
      <c r="R47">
        <v>2.3E-2</v>
      </c>
      <c r="S47">
        <v>329.7</v>
      </c>
      <c r="T47">
        <v>243</v>
      </c>
      <c r="U47">
        <v>390.9</v>
      </c>
      <c r="V47">
        <v>1.1599999999999999</v>
      </c>
      <c r="W47">
        <v>5.6000000000000001E-2</v>
      </c>
      <c r="X47">
        <v>80</v>
      </c>
      <c r="Y47">
        <v>59.8</v>
      </c>
      <c r="Z47">
        <v>49.012537171874847</v>
      </c>
      <c r="AA47">
        <v>191.76241614716605</v>
      </c>
      <c r="AB47">
        <v>262.56928047105782</v>
      </c>
      <c r="AC47">
        <v>2.0526772230694537</v>
      </c>
      <c r="AD47">
        <v>0.99219999999999997</v>
      </c>
      <c r="AE47">
        <v>3.8820000000000001</v>
      </c>
      <c r="AF47">
        <v>5.3153999999999995</v>
      </c>
      <c r="AG47">
        <v>0.98025074343749696</v>
      </c>
      <c r="AH47">
        <v>3.8352483229433214</v>
      </c>
      <c r="AI47">
        <v>5.2513856094211562</v>
      </c>
      <c r="AJ47">
        <v>2.5</v>
      </c>
      <c r="AK47">
        <v>0.15994279073634127</v>
      </c>
      <c r="AL47">
        <v>3.8920761260343797</v>
      </c>
      <c r="AM47">
        <v>5.2562571898963864</v>
      </c>
      <c r="AN47">
        <v>5.5705149728134726</v>
      </c>
      <c r="AO47">
        <v>0.02</v>
      </c>
      <c r="AP47">
        <v>0.02</v>
      </c>
      <c r="AQ47">
        <v>0.02</v>
      </c>
      <c r="AS47">
        <f t="shared" si="0"/>
        <v>1.0254664005271346</v>
      </c>
      <c r="AT47" s="1">
        <v>9.8442442509999993E-4</v>
      </c>
      <c r="AU47">
        <f t="shared" si="1"/>
        <v>2.1493159122963106</v>
      </c>
      <c r="AV47">
        <f t="shared" si="2"/>
        <v>9.4408733140835741E-2</v>
      </c>
      <c r="BK47">
        <f t="shared" si="10"/>
        <v>2.0679844268048133</v>
      </c>
      <c r="BL47">
        <f t="shared" si="3"/>
        <v>0.13543655543405853</v>
      </c>
      <c r="BN47" s="1">
        <f t="shared" si="4"/>
        <v>4.2718893868367875E-3</v>
      </c>
      <c r="BO47">
        <f t="shared" si="5"/>
        <v>9.4312034514817719E-2</v>
      </c>
      <c r="BP47">
        <f t="shared" si="6"/>
        <v>-3.225684226617806E-6</v>
      </c>
      <c r="BQ47">
        <f t="shared" si="7"/>
        <v>4.8285505462951858E-5</v>
      </c>
      <c r="BR47">
        <f t="shared" si="8"/>
        <v>1.4953987105429061E-2</v>
      </c>
      <c r="BS47">
        <f t="shared" si="9"/>
        <v>0.13460845618161735</v>
      </c>
    </row>
    <row r="48" spans="1:71" x14ac:dyDescent="0.2">
      <c r="A48">
        <v>26093</v>
      </c>
      <c r="B48" t="s">
        <v>50</v>
      </c>
      <c r="C48" t="s">
        <v>97</v>
      </c>
      <c r="D48">
        <v>43.667000000000002</v>
      </c>
      <c r="E48">
        <v>-79.400000000000006</v>
      </c>
      <c r="F48">
        <v>75</v>
      </c>
      <c r="G48">
        <v>1009</v>
      </c>
      <c r="H48">
        <v>60.88</v>
      </c>
      <c r="I48">
        <v>12.3</v>
      </c>
      <c r="J48">
        <v>53.33</v>
      </c>
      <c r="K48">
        <v>200.27</v>
      </c>
      <c r="L48">
        <v>268.04000000000002</v>
      </c>
      <c r="M48">
        <v>455.36</v>
      </c>
      <c r="N48">
        <v>1346.59</v>
      </c>
      <c r="O48">
        <v>0.26629999999999998</v>
      </c>
      <c r="P48">
        <v>0.74719999999999998</v>
      </c>
      <c r="Q48">
        <v>4.0000000000000001E-3</v>
      </c>
      <c r="R48">
        <v>3.0000000000000001E-3</v>
      </c>
      <c r="S48">
        <v>323.10000000000002</v>
      </c>
      <c r="T48">
        <v>233.7</v>
      </c>
      <c r="U48">
        <v>386.2</v>
      </c>
      <c r="V48">
        <v>1.1499999999999999</v>
      </c>
      <c r="W48">
        <v>0.04</v>
      </c>
      <c r="X48">
        <v>80</v>
      </c>
      <c r="Y48">
        <v>60</v>
      </c>
      <c r="Z48">
        <v>52.687736492160568</v>
      </c>
      <c r="AA48">
        <v>197.85810964344643</v>
      </c>
      <c r="AB48">
        <v>264.81194242187735</v>
      </c>
      <c r="AC48">
        <v>2.0488467834976953</v>
      </c>
      <c r="AD48">
        <v>1.0666</v>
      </c>
      <c r="AE48">
        <v>4.0053999999999998</v>
      </c>
      <c r="AF48">
        <v>5.3608000000000002</v>
      </c>
      <c r="AG48">
        <v>1.0537547298432113</v>
      </c>
      <c r="AH48">
        <v>3.9571621928689278</v>
      </c>
      <c r="AI48">
        <v>5.2962388484375467</v>
      </c>
      <c r="AJ48">
        <v>2.5</v>
      </c>
      <c r="AK48">
        <v>0.15925579640445944</v>
      </c>
      <c r="AL48">
        <v>3.9643827243339329</v>
      </c>
      <c r="AM48">
        <v>5.2875501558387548</v>
      </c>
      <c r="AN48">
        <v>5.5790199228263919</v>
      </c>
      <c r="AO48">
        <v>1.9999999999999997E-2</v>
      </c>
      <c r="AP48">
        <v>1.9999999999999997E-2</v>
      </c>
      <c r="AQ48">
        <v>0.02</v>
      </c>
      <c r="AS48">
        <f t="shared" si="0"/>
        <v>1.0254664005271346</v>
      </c>
      <c r="AT48" s="1">
        <v>9.8442442509999993E-4</v>
      </c>
      <c r="AU48">
        <f t="shared" si="1"/>
        <v>2.144800260312886</v>
      </c>
      <c r="AV48">
        <f t="shared" si="2"/>
        <v>9.3936571364891266E-2</v>
      </c>
      <c r="BK48">
        <f t="shared" si="10"/>
        <v>2.0640454521724982</v>
      </c>
      <c r="BL48">
        <f t="shared" si="3"/>
        <v>0.13485365618810724</v>
      </c>
      <c r="BN48" s="1">
        <f t="shared" si="4"/>
        <v>4.2425480321659735E-3</v>
      </c>
      <c r="BO48">
        <f t="shared" si="5"/>
        <v>9.3840717313893512E-2</v>
      </c>
      <c r="BP48">
        <f t="shared" si="6"/>
        <v>-3.2028126532771726E-6</v>
      </c>
      <c r="BQ48">
        <f t="shared" si="7"/>
        <v>4.7943139192139475E-5</v>
      </c>
      <c r="BR48">
        <f t="shared" si="8"/>
        <v>1.4879198461685509E-2</v>
      </c>
      <c r="BS48">
        <f t="shared" si="9"/>
        <v>0.13403027915973095</v>
      </c>
    </row>
    <row r="49" spans="1:71" x14ac:dyDescent="0.2">
      <c r="A49">
        <v>26093</v>
      </c>
      <c r="B49" t="s">
        <v>50</v>
      </c>
      <c r="C49" t="s">
        <v>98</v>
      </c>
      <c r="D49">
        <v>43.667000000000002</v>
      </c>
      <c r="E49">
        <v>-79.400000000000006</v>
      </c>
      <c r="F49">
        <v>75</v>
      </c>
      <c r="G49">
        <v>1009</v>
      </c>
      <c r="H49">
        <v>60.84</v>
      </c>
      <c r="I49">
        <v>12.4</v>
      </c>
      <c r="J49">
        <v>53.59</v>
      </c>
      <c r="K49">
        <v>200.07</v>
      </c>
      <c r="L49">
        <v>268.98</v>
      </c>
      <c r="M49">
        <v>453.19</v>
      </c>
      <c r="N49">
        <v>1342.87</v>
      </c>
      <c r="O49">
        <v>0.26790000000000003</v>
      </c>
      <c r="P49">
        <v>0.74380000000000002</v>
      </c>
      <c r="Q49">
        <v>1.0999999999999999E-2</v>
      </c>
      <c r="R49">
        <v>0</v>
      </c>
      <c r="S49">
        <v>322.5</v>
      </c>
      <c r="T49">
        <v>236.1</v>
      </c>
      <c r="U49">
        <v>383.6</v>
      </c>
      <c r="V49">
        <v>1.1599999999999999</v>
      </c>
      <c r="W49">
        <v>4.2000000000000003E-2</v>
      </c>
      <c r="X49">
        <v>80</v>
      </c>
      <c r="Y49">
        <v>59.9</v>
      </c>
      <c r="Z49">
        <v>52.944605261857959</v>
      </c>
      <c r="AA49">
        <v>197.66051828214071</v>
      </c>
      <c r="AB49">
        <v>265.74062182001404</v>
      </c>
      <c r="AC49">
        <v>2.046302295892942</v>
      </c>
      <c r="AD49">
        <v>1.0718000000000001</v>
      </c>
      <c r="AE49">
        <v>4.0014000000000003</v>
      </c>
      <c r="AF49">
        <v>5.3796000000000008</v>
      </c>
      <c r="AG49">
        <v>1.0588921052371592</v>
      </c>
      <c r="AH49">
        <v>3.9532103656428146</v>
      </c>
      <c r="AI49">
        <v>5.314812436400282</v>
      </c>
      <c r="AJ49">
        <v>2.5</v>
      </c>
      <c r="AK49">
        <v>0.15880010805998115</v>
      </c>
      <c r="AL49">
        <v>3.9692461832281811</v>
      </c>
      <c r="AM49">
        <v>5.286551005033747</v>
      </c>
      <c r="AN49">
        <v>5.5825207271168251</v>
      </c>
      <c r="AO49">
        <v>0.02</v>
      </c>
      <c r="AP49">
        <v>0.02</v>
      </c>
      <c r="AQ49">
        <v>2.0000000000000004E-2</v>
      </c>
      <c r="AS49">
        <f t="shared" si="0"/>
        <v>1.0254664005271346</v>
      </c>
      <c r="AT49" s="1">
        <v>9.8442442509999993E-4</v>
      </c>
      <c r="AU49">
        <f t="shared" si="1"/>
        <v>2.141802357752387</v>
      </c>
      <c r="AV49">
        <f t="shared" si="2"/>
        <v>9.3623747104844834E-2</v>
      </c>
      <c r="BK49">
        <f t="shared" si="10"/>
        <v>2.0614291453495852</v>
      </c>
      <c r="BL49">
        <f t="shared" si="3"/>
        <v>0.1344670216863495</v>
      </c>
      <c r="BN49" s="1">
        <f t="shared" si="4"/>
        <v>4.2231387511254036E-3</v>
      </c>
      <c r="BO49">
        <f t="shared" si="5"/>
        <v>9.3528450864112392E-2</v>
      </c>
      <c r="BP49">
        <f t="shared" si="6"/>
        <v>-3.1876782026491452E-6</v>
      </c>
      <c r="BQ49">
        <f t="shared" si="7"/>
        <v>4.7716590482737557E-5</v>
      </c>
      <c r="BR49">
        <f t="shared" si="8"/>
        <v>1.482964827924612E-2</v>
      </c>
      <c r="BS49">
        <f t="shared" si="9"/>
        <v>0.13364677012960971</v>
      </c>
    </row>
    <row r="50" spans="1:71" x14ac:dyDescent="0.2">
      <c r="A50">
        <v>26093</v>
      </c>
      <c r="B50" t="s">
        <v>50</v>
      </c>
      <c r="C50" t="s">
        <v>99</v>
      </c>
      <c r="D50">
        <v>43.667000000000002</v>
      </c>
      <c r="E50">
        <v>-79.400000000000006</v>
      </c>
      <c r="F50">
        <v>75</v>
      </c>
      <c r="G50">
        <v>1009</v>
      </c>
      <c r="H50">
        <v>59.92</v>
      </c>
      <c r="I50">
        <v>12.5</v>
      </c>
      <c r="J50">
        <v>60.79</v>
      </c>
      <c r="K50">
        <v>215.04</v>
      </c>
      <c r="L50">
        <v>284.76</v>
      </c>
      <c r="M50">
        <v>458.94</v>
      </c>
      <c r="N50">
        <v>1326.29</v>
      </c>
      <c r="O50">
        <v>0.28270000000000001</v>
      </c>
      <c r="P50">
        <v>0.75509999999999999</v>
      </c>
      <c r="Q50">
        <v>1.9E-2</v>
      </c>
      <c r="R50">
        <v>2E-3</v>
      </c>
      <c r="S50">
        <v>322.7</v>
      </c>
      <c r="T50">
        <v>238.3</v>
      </c>
      <c r="U50">
        <v>382.2</v>
      </c>
      <c r="V50">
        <v>1.1499999999999999</v>
      </c>
      <c r="W50">
        <v>0.05</v>
      </c>
      <c r="X50">
        <v>80</v>
      </c>
      <c r="Y50">
        <v>58.7</v>
      </c>
      <c r="Z50">
        <v>60.057894268862569</v>
      </c>
      <c r="AA50">
        <v>212.45023167587115</v>
      </c>
      <c r="AB50">
        <v>281.3305802270325</v>
      </c>
      <c r="AC50">
        <v>1.9897298086645114</v>
      </c>
      <c r="AD50">
        <v>1.2158</v>
      </c>
      <c r="AE50">
        <v>4.3007999999999997</v>
      </c>
      <c r="AF50">
        <v>5.6951999999999998</v>
      </c>
      <c r="AG50">
        <v>1.2011578853772513</v>
      </c>
      <c r="AH50">
        <v>4.2490046335174227</v>
      </c>
      <c r="AI50">
        <v>5.62661160454065</v>
      </c>
      <c r="AJ50">
        <v>2.5</v>
      </c>
      <c r="AK50">
        <v>0.14880632914301359</v>
      </c>
      <c r="AL50">
        <v>4.095309001482053</v>
      </c>
      <c r="AM50">
        <v>5.3587077570562069</v>
      </c>
      <c r="AN50">
        <v>5.6395304199570946</v>
      </c>
      <c r="AO50">
        <v>0.02</v>
      </c>
      <c r="AP50">
        <v>1.9999999999999997E-2</v>
      </c>
      <c r="AQ50">
        <v>0.02</v>
      </c>
      <c r="AS50">
        <f t="shared" si="0"/>
        <v>1.0254664005271346</v>
      </c>
      <c r="AT50" s="1">
        <v>9.8442442509999993E-4</v>
      </c>
      <c r="AU50">
        <f t="shared" si="1"/>
        <v>2.0755055342787228</v>
      </c>
      <c r="AV50">
        <f t="shared" si="2"/>
        <v>8.6835456454333368E-2</v>
      </c>
      <c r="BK50">
        <f t="shared" si="10"/>
        <v>2.0033163599518828</v>
      </c>
      <c r="BL50">
        <f t="shared" si="3"/>
        <v>0.12598902057107189</v>
      </c>
      <c r="BN50" s="1">
        <f t="shared" si="4"/>
        <v>3.8080622582328436E-3</v>
      </c>
      <c r="BO50">
        <f t="shared" si="5"/>
        <v>8.6751917324459457E-2</v>
      </c>
      <c r="BP50">
        <f t="shared" si="6"/>
        <v>-2.8630914528543141E-6</v>
      </c>
      <c r="BQ50">
        <f t="shared" si="7"/>
        <v>4.2857827448498032E-5</v>
      </c>
      <c r="BR50">
        <f t="shared" si="8"/>
        <v>1.3754408653858701E-2</v>
      </c>
      <c r="BS50">
        <f t="shared" si="9"/>
        <v>0.12523596808445234</v>
      </c>
    </row>
    <row r="51" spans="1:71" x14ac:dyDescent="0.2">
      <c r="A51">
        <v>26093</v>
      </c>
      <c r="B51" t="s">
        <v>50</v>
      </c>
      <c r="C51" t="s">
        <v>100</v>
      </c>
      <c r="D51">
        <v>43.667000000000002</v>
      </c>
      <c r="E51">
        <v>-79.400000000000006</v>
      </c>
      <c r="F51">
        <v>75</v>
      </c>
      <c r="G51">
        <v>1009</v>
      </c>
      <c r="H51">
        <v>59.88</v>
      </c>
      <c r="I51">
        <v>12.5</v>
      </c>
      <c r="J51">
        <v>58.6</v>
      </c>
      <c r="K51">
        <v>211.76</v>
      </c>
      <c r="L51">
        <v>283.27</v>
      </c>
      <c r="M51">
        <v>442.99</v>
      </c>
      <c r="N51">
        <v>1296.95</v>
      </c>
      <c r="O51">
        <v>0.2767</v>
      </c>
      <c r="P51">
        <v>0.74760000000000004</v>
      </c>
      <c r="Q51">
        <v>1E-3</v>
      </c>
      <c r="R51">
        <v>0</v>
      </c>
      <c r="S51">
        <v>327</v>
      </c>
      <c r="T51">
        <v>243.2</v>
      </c>
      <c r="U51">
        <v>386.2</v>
      </c>
      <c r="V51">
        <v>1.1599999999999999</v>
      </c>
      <c r="W51">
        <v>6.0999999999999999E-2</v>
      </c>
      <c r="X51">
        <v>80</v>
      </c>
      <c r="Y51">
        <v>59.3</v>
      </c>
      <c r="Z51">
        <v>57.894268862565333</v>
      </c>
      <c r="AA51">
        <v>209.20973335045792</v>
      </c>
      <c r="AB51">
        <v>279.85852458530513</v>
      </c>
      <c r="AC51">
        <v>1.9873521880074743</v>
      </c>
      <c r="AD51">
        <v>1.1720000000000002</v>
      </c>
      <c r="AE51">
        <v>4.2351999999999999</v>
      </c>
      <c r="AF51">
        <v>5.6654</v>
      </c>
      <c r="AG51">
        <v>1.1578853772513069</v>
      </c>
      <c r="AH51">
        <v>4.1841946670091588</v>
      </c>
      <c r="AI51">
        <v>5.5971704917061027</v>
      </c>
      <c r="AJ51">
        <v>2.5</v>
      </c>
      <c r="AK51">
        <v>0.14839207422353837</v>
      </c>
      <c r="AL51">
        <v>4.0586183963043894</v>
      </c>
      <c r="AM51">
        <v>5.3433372576402682</v>
      </c>
      <c r="AN51">
        <v>5.6342842061394878</v>
      </c>
      <c r="AO51">
        <v>2.0000000000000004E-2</v>
      </c>
      <c r="AP51">
        <v>0.02</v>
      </c>
      <c r="AQ51">
        <v>0.02</v>
      </c>
      <c r="AS51">
        <f t="shared" si="0"/>
        <v>1.0254664005271346</v>
      </c>
      <c r="AT51" s="1">
        <v>9.8442442509999993E-4</v>
      </c>
      <c r="AU51">
        <f t="shared" si="1"/>
        <v>2.0727339237689972</v>
      </c>
      <c r="AV51">
        <f t="shared" si="2"/>
        <v>8.6557030444599239E-2</v>
      </c>
      <c r="BK51">
        <f t="shared" si="10"/>
        <v>2.0008763327887871</v>
      </c>
      <c r="BL51">
        <f t="shared" si="3"/>
        <v>0.12563765134981211</v>
      </c>
      <c r="BN51" s="1">
        <f t="shared" si="4"/>
        <v>3.7912922510765653E-3</v>
      </c>
      <c r="BO51">
        <f t="shared" si="5"/>
        <v>8.6473959215790541E-2</v>
      </c>
      <c r="BP51">
        <f t="shared" si="6"/>
        <v>-2.8499405413153457E-6</v>
      </c>
      <c r="BQ51">
        <f t="shared" si="7"/>
        <v>4.2660970482240226E-5</v>
      </c>
      <c r="BR51">
        <f t="shared" si="8"/>
        <v>1.3710307024476924E-2</v>
      </c>
      <c r="BS51">
        <f t="shared" si="9"/>
        <v>0.1248873295811507</v>
      </c>
    </row>
    <row r="52" spans="1:71" x14ac:dyDescent="0.2">
      <c r="A52">
        <v>26093</v>
      </c>
      <c r="B52" t="s">
        <v>50</v>
      </c>
      <c r="C52" t="s">
        <v>101</v>
      </c>
      <c r="D52">
        <v>43.667000000000002</v>
      </c>
      <c r="E52">
        <v>-79.400000000000006</v>
      </c>
      <c r="F52">
        <v>75</v>
      </c>
      <c r="G52">
        <v>1009</v>
      </c>
      <c r="H52">
        <v>59.83</v>
      </c>
      <c r="I52">
        <v>12.5</v>
      </c>
      <c r="J52">
        <v>61.96</v>
      </c>
      <c r="K52">
        <v>219.11</v>
      </c>
      <c r="L52">
        <v>285.76</v>
      </c>
      <c r="M52">
        <v>465.67</v>
      </c>
      <c r="N52">
        <v>1337.38</v>
      </c>
      <c r="O52">
        <v>0.2828</v>
      </c>
      <c r="P52">
        <v>0.76680000000000004</v>
      </c>
      <c r="Q52">
        <v>1E-3</v>
      </c>
      <c r="R52">
        <v>1E-3</v>
      </c>
      <c r="S52">
        <v>323.60000000000002</v>
      </c>
      <c r="T52">
        <v>232.5</v>
      </c>
      <c r="U52">
        <v>387.9</v>
      </c>
      <c r="V52">
        <v>1.1399999999999999</v>
      </c>
      <c r="W52">
        <v>4.4999999999999998E-2</v>
      </c>
      <c r="X52">
        <v>80</v>
      </c>
      <c r="Y52">
        <v>59.4</v>
      </c>
      <c r="Z52">
        <v>61.213803732500821</v>
      </c>
      <c r="AA52">
        <v>216.47121587844182</v>
      </c>
      <c r="AB52">
        <v>282.31853703356092</v>
      </c>
      <c r="AC52">
        <v>1.9843894620982632</v>
      </c>
      <c r="AD52">
        <v>1.2392000000000001</v>
      </c>
      <c r="AE52">
        <v>4.3822000000000001</v>
      </c>
      <c r="AF52">
        <v>5.7152000000000003</v>
      </c>
      <c r="AG52">
        <v>1.2242760746500165</v>
      </c>
      <c r="AH52">
        <v>4.3294243175688365</v>
      </c>
      <c r="AI52">
        <v>5.6463707406712187</v>
      </c>
      <c r="AJ52">
        <v>2.5</v>
      </c>
      <c r="AK52">
        <v>0.14787652531336412</v>
      </c>
      <c r="AL52">
        <v>4.1143727152700897</v>
      </c>
      <c r="AM52">
        <v>5.377457586541011</v>
      </c>
      <c r="AN52">
        <v>5.6430359974095561</v>
      </c>
      <c r="AO52">
        <v>0.02</v>
      </c>
      <c r="AP52">
        <v>0.02</v>
      </c>
      <c r="AQ52">
        <v>0.02</v>
      </c>
      <c r="AS52">
        <f t="shared" si="0"/>
        <v>1.0254664005271346</v>
      </c>
      <c r="AT52" s="1">
        <v>9.8442442509999993E-4</v>
      </c>
      <c r="AU52">
        <f t="shared" si="1"/>
        <v>2.0692818842378555</v>
      </c>
      <c r="AV52">
        <f t="shared" si="2"/>
        <v>8.6210849123015465E-2</v>
      </c>
      <c r="BK52">
        <f t="shared" si="10"/>
        <v>1.9978361014481456</v>
      </c>
      <c r="BL52">
        <f t="shared" si="3"/>
        <v>0.12520037100596759</v>
      </c>
      <c r="BN52" s="1">
        <f t="shared" si="4"/>
        <v>3.7704698410912455E-3</v>
      </c>
      <c r="BO52">
        <f t="shared" si="5"/>
        <v>8.6128358069156044E-2</v>
      </c>
      <c r="BP52">
        <f t="shared" si="6"/>
        <v>-2.8336078360111003E-6</v>
      </c>
      <c r="BQ52">
        <f t="shared" si="7"/>
        <v>4.241648501007737E-5</v>
      </c>
      <c r="BR52">
        <f t="shared" si="8"/>
        <v>1.3655473209353258E-2</v>
      </c>
      <c r="BS52">
        <f t="shared" si="9"/>
        <v>0.12445344167307319</v>
      </c>
    </row>
    <row r="53" spans="1:71" x14ac:dyDescent="0.2">
      <c r="A53">
        <v>26093</v>
      </c>
      <c r="B53" t="s">
        <v>50</v>
      </c>
      <c r="C53" t="s">
        <v>102</v>
      </c>
      <c r="D53">
        <v>43.667000000000002</v>
      </c>
      <c r="E53">
        <v>-79.400000000000006</v>
      </c>
      <c r="F53">
        <v>75</v>
      </c>
      <c r="G53">
        <v>1009</v>
      </c>
      <c r="H53">
        <v>59.78</v>
      </c>
      <c r="I53">
        <v>12.5</v>
      </c>
      <c r="J53">
        <v>62.14</v>
      </c>
      <c r="K53">
        <v>217.94</v>
      </c>
      <c r="L53">
        <v>285.38</v>
      </c>
      <c r="M53">
        <v>458.02</v>
      </c>
      <c r="N53">
        <v>1325.39</v>
      </c>
      <c r="O53">
        <v>0.28510000000000002</v>
      </c>
      <c r="P53">
        <v>0.76370000000000005</v>
      </c>
      <c r="Q53">
        <v>1.9E-2</v>
      </c>
      <c r="R53">
        <v>1E-3</v>
      </c>
      <c r="S53">
        <v>322.60000000000002</v>
      </c>
      <c r="T53">
        <v>234.7</v>
      </c>
      <c r="U53">
        <v>384.6</v>
      </c>
      <c r="V53">
        <v>1.1499999999999999</v>
      </c>
      <c r="W53">
        <v>0.05</v>
      </c>
      <c r="X53">
        <v>80</v>
      </c>
      <c r="Y53">
        <v>58.9</v>
      </c>
      <c r="Z53">
        <v>61.391635957675938</v>
      </c>
      <c r="AA53">
        <v>215.31530641480356</v>
      </c>
      <c r="AB53">
        <v>281.94311344708012</v>
      </c>
      <c r="AC53">
        <v>1.9814370224931488</v>
      </c>
      <c r="AD53">
        <v>1.2428000000000001</v>
      </c>
      <c r="AE53">
        <v>4.3588000000000005</v>
      </c>
      <c r="AF53">
        <v>5.7076000000000002</v>
      </c>
      <c r="AG53">
        <v>1.2278327191535188</v>
      </c>
      <c r="AH53">
        <v>4.3063061282960717</v>
      </c>
      <c r="AI53">
        <v>5.6388622689416028</v>
      </c>
      <c r="AJ53">
        <v>2.5</v>
      </c>
      <c r="AK53">
        <v>0.14736348298246768</v>
      </c>
      <c r="AL53">
        <v>4.117273603686324</v>
      </c>
      <c r="AM53">
        <v>5.3721034952701618</v>
      </c>
      <c r="AN53">
        <v>5.6417053252238514</v>
      </c>
      <c r="AO53">
        <v>0.02</v>
      </c>
      <c r="AP53">
        <v>2.0000000000000004E-2</v>
      </c>
      <c r="AQ53">
        <v>0.02</v>
      </c>
      <c r="AS53">
        <f t="shared" si="0"/>
        <v>1.0254664005271346</v>
      </c>
      <c r="AT53" s="1">
        <v>9.8442442509999993E-4</v>
      </c>
      <c r="AU53">
        <f t="shared" si="1"/>
        <v>2.0658436279766188</v>
      </c>
      <c r="AV53">
        <f t="shared" si="2"/>
        <v>8.586670899125165E-2</v>
      </c>
      <c r="BK53">
        <f t="shared" si="10"/>
        <v>1.99480671031779</v>
      </c>
      <c r="BL53">
        <f t="shared" si="3"/>
        <v>0.12476522329478616</v>
      </c>
      <c r="BN53" s="1">
        <f t="shared" si="4"/>
        <v>3.7498017194199178E-3</v>
      </c>
      <c r="BO53">
        <f t="shared" si="5"/>
        <v>8.5784792941717425E-2</v>
      </c>
      <c r="BP53">
        <f t="shared" si="6"/>
        <v>-2.8173918552561941E-6</v>
      </c>
      <c r="BQ53">
        <f t="shared" si="7"/>
        <v>4.2173746796315777E-5</v>
      </c>
      <c r="BR53">
        <f t="shared" si="8"/>
        <v>1.3600962710995233E-2</v>
      </c>
      <c r="BS53">
        <f t="shared" si="9"/>
        <v>0.12402166331157373</v>
      </c>
    </row>
    <row r="54" spans="1:71" x14ac:dyDescent="0.2">
      <c r="A54">
        <v>26093</v>
      </c>
      <c r="B54" t="s">
        <v>50</v>
      </c>
      <c r="C54" t="s">
        <v>103</v>
      </c>
      <c r="D54">
        <v>43.667000000000002</v>
      </c>
      <c r="E54">
        <v>-79.400000000000006</v>
      </c>
      <c r="F54">
        <v>75</v>
      </c>
      <c r="G54">
        <v>1009</v>
      </c>
      <c r="H54">
        <v>59.74</v>
      </c>
      <c r="I54">
        <v>12.5</v>
      </c>
      <c r="J54">
        <v>60.91</v>
      </c>
      <c r="K54">
        <v>220.04</v>
      </c>
      <c r="L54">
        <v>289.43</v>
      </c>
      <c r="M54">
        <v>467.49</v>
      </c>
      <c r="N54">
        <v>1328.98</v>
      </c>
      <c r="O54">
        <v>0.27679999999999999</v>
      </c>
      <c r="P54">
        <v>0.76029999999999998</v>
      </c>
      <c r="Q54">
        <v>3.3000000000000002E-2</v>
      </c>
      <c r="R54">
        <v>7.0000000000000001E-3</v>
      </c>
      <c r="S54">
        <v>328.5</v>
      </c>
      <c r="T54">
        <v>237.1</v>
      </c>
      <c r="U54">
        <v>393.1</v>
      </c>
      <c r="V54">
        <v>1.1299999999999999</v>
      </c>
      <c r="W54">
        <v>4.9000000000000002E-2</v>
      </c>
      <c r="X54">
        <v>80</v>
      </c>
      <c r="Y54">
        <v>58.9</v>
      </c>
      <c r="Z54">
        <v>60.176449085645977</v>
      </c>
      <c r="AA54">
        <v>217.39001570851323</v>
      </c>
      <c r="AB54">
        <v>285.94433851352022</v>
      </c>
      <c r="AC54">
        <v>1.9790824433555672</v>
      </c>
      <c r="AD54">
        <v>1.2181999999999999</v>
      </c>
      <c r="AE54">
        <v>4.4008000000000003</v>
      </c>
      <c r="AF54">
        <v>5.7886000000000006</v>
      </c>
      <c r="AG54">
        <v>1.2035289817129196</v>
      </c>
      <c r="AH54">
        <v>4.3478003141702652</v>
      </c>
      <c r="AI54">
        <v>5.7188867702704052</v>
      </c>
      <c r="AJ54">
        <v>2.5</v>
      </c>
      <c r="AK54">
        <v>0.14695484288110394</v>
      </c>
      <c r="AL54">
        <v>4.097281064569815</v>
      </c>
      <c r="AM54">
        <v>5.3816930477286791</v>
      </c>
      <c r="AN54">
        <v>5.6557971712967126</v>
      </c>
      <c r="AO54">
        <v>0.02</v>
      </c>
      <c r="AP54">
        <v>2.0000000000000004E-2</v>
      </c>
      <c r="AQ54">
        <v>2.0000000000000004E-2</v>
      </c>
      <c r="AS54">
        <f t="shared" si="0"/>
        <v>1.0254664005271346</v>
      </c>
      <c r="AT54" s="1">
        <v>9.8442442509999993E-4</v>
      </c>
      <c r="AU54">
        <f t="shared" si="1"/>
        <v>2.0631028923948427</v>
      </c>
      <c r="AV54">
        <f t="shared" si="2"/>
        <v>8.5592855352918704E-2</v>
      </c>
      <c r="BK54">
        <f t="shared" si="10"/>
        <v>1.992390965456498</v>
      </c>
      <c r="BL54">
        <f t="shared" si="3"/>
        <v>0.12441863124005166</v>
      </c>
      <c r="BN54" s="1">
        <f t="shared" si="4"/>
        <v>3.7333773284154784E-3</v>
      </c>
      <c r="BO54">
        <f t="shared" si="5"/>
        <v>8.5511395621807845E-2</v>
      </c>
      <c r="BP54">
        <f t="shared" si="6"/>
        <v>-2.804502413553183E-6</v>
      </c>
      <c r="BQ54">
        <f t="shared" si="7"/>
        <v>4.1980803791346655E-5</v>
      </c>
      <c r="BR54">
        <f t="shared" si="8"/>
        <v>1.3557585327990881E-2</v>
      </c>
      <c r="BS54">
        <f t="shared" si="9"/>
        <v>0.12367775026038065</v>
      </c>
    </row>
    <row r="55" spans="1:71" x14ac:dyDescent="0.2">
      <c r="A55">
        <v>26093</v>
      </c>
      <c r="B55" t="s">
        <v>50</v>
      </c>
      <c r="C55" t="s">
        <v>104</v>
      </c>
      <c r="D55">
        <v>43.667000000000002</v>
      </c>
      <c r="E55">
        <v>-79.400000000000006</v>
      </c>
      <c r="F55">
        <v>75</v>
      </c>
      <c r="G55">
        <v>1009</v>
      </c>
      <c r="H55">
        <v>59.69</v>
      </c>
      <c r="I55">
        <v>12.5</v>
      </c>
      <c r="J55">
        <v>61.42</v>
      </c>
      <c r="K55">
        <v>217.17</v>
      </c>
      <c r="L55">
        <v>287.58999999999997</v>
      </c>
      <c r="M55">
        <v>454.3</v>
      </c>
      <c r="N55">
        <v>1310.6400000000001</v>
      </c>
      <c r="O55">
        <v>0.2828</v>
      </c>
      <c r="P55">
        <v>0.75509999999999999</v>
      </c>
      <c r="Q55">
        <v>1.7999999999999999E-2</v>
      </c>
      <c r="R55">
        <v>5.0000000000000001E-3</v>
      </c>
      <c r="S55">
        <v>325</v>
      </c>
      <c r="T55">
        <v>240.5</v>
      </c>
      <c r="U55">
        <v>384.7</v>
      </c>
      <c r="V55">
        <v>1.1499999999999999</v>
      </c>
      <c r="W55">
        <v>5.6000000000000001E-2</v>
      </c>
      <c r="X55">
        <v>80</v>
      </c>
      <c r="Y55">
        <v>59</v>
      </c>
      <c r="Z55">
        <v>60.680307056975472</v>
      </c>
      <c r="AA55">
        <v>214.55457967377666</v>
      </c>
      <c r="AB55">
        <v>284.12649798950787</v>
      </c>
      <c r="AC55">
        <v>1.9761483933858552</v>
      </c>
      <c r="AD55">
        <v>1.2284000000000002</v>
      </c>
      <c r="AE55">
        <v>4.3433999999999999</v>
      </c>
      <c r="AF55">
        <v>5.7517999999999994</v>
      </c>
      <c r="AG55">
        <v>1.2136061411395096</v>
      </c>
      <c r="AH55">
        <v>4.2910915934755334</v>
      </c>
      <c r="AI55">
        <v>5.6825299597901582</v>
      </c>
      <c r="AJ55">
        <v>2.5</v>
      </c>
      <c r="AK55">
        <v>0.14644627134674176</v>
      </c>
      <c r="AL55">
        <v>4.1056192147340989</v>
      </c>
      <c r="AM55">
        <v>5.3685641566945819</v>
      </c>
      <c r="AN55">
        <v>5.6494195544492021</v>
      </c>
      <c r="AO55">
        <v>2.0000000000000004E-2</v>
      </c>
      <c r="AP55">
        <v>0.02</v>
      </c>
      <c r="AQ55">
        <v>2.0000000000000004E-2</v>
      </c>
      <c r="AS55">
        <f t="shared" si="0"/>
        <v>1.0254664005271346</v>
      </c>
      <c r="AT55" s="1">
        <v>9.8442442509999993E-4</v>
      </c>
      <c r="AU55">
        <f t="shared" si="1"/>
        <v>2.0596892420698487</v>
      </c>
      <c r="AV55">
        <f t="shared" si="2"/>
        <v>8.5252347540344733E-2</v>
      </c>
      <c r="BK55">
        <f t="shared" si="10"/>
        <v>1.9893809486001426</v>
      </c>
      <c r="BL55">
        <f t="shared" si="3"/>
        <v>0.12398728717845682</v>
      </c>
      <c r="BN55" s="1">
        <f t="shared" si="4"/>
        <v>3.7129832594648775E-3</v>
      </c>
      <c r="BO55">
        <f t="shared" si="5"/>
        <v>8.5171453647655063E-2</v>
      </c>
      <c r="BP55">
        <f t="shared" si="6"/>
        <v>-2.788493925508794E-6</v>
      </c>
      <c r="BQ55">
        <f t="shared" si="7"/>
        <v>4.1741171551295853E-5</v>
      </c>
      <c r="BR55">
        <f t="shared" si="8"/>
        <v>1.350365017528702E-2</v>
      </c>
      <c r="BS55">
        <f t="shared" si="9"/>
        <v>0.12324973453811368</v>
      </c>
    </row>
    <row r="56" spans="1:71" x14ac:dyDescent="0.2">
      <c r="A56">
        <v>26093</v>
      </c>
      <c r="B56" t="s">
        <v>50</v>
      </c>
      <c r="C56" t="s">
        <v>105</v>
      </c>
      <c r="D56">
        <v>43.667000000000002</v>
      </c>
      <c r="E56">
        <v>-79.400000000000006</v>
      </c>
      <c r="F56">
        <v>75</v>
      </c>
      <c r="G56">
        <v>1009</v>
      </c>
      <c r="H56">
        <v>59.64</v>
      </c>
      <c r="I56">
        <v>12.5</v>
      </c>
      <c r="J56">
        <v>64.37</v>
      </c>
      <c r="K56">
        <v>222.71</v>
      </c>
      <c r="L56">
        <v>287.56</v>
      </c>
      <c r="M56">
        <v>467.24</v>
      </c>
      <c r="N56">
        <v>1335.63</v>
      </c>
      <c r="O56">
        <v>0.28899999999999998</v>
      </c>
      <c r="P56">
        <v>0.77449999999999997</v>
      </c>
      <c r="Q56">
        <v>1.7000000000000001E-2</v>
      </c>
      <c r="R56">
        <v>1E-3</v>
      </c>
      <c r="S56">
        <v>321.60000000000002</v>
      </c>
      <c r="T56">
        <v>229.8</v>
      </c>
      <c r="U56">
        <v>386.4</v>
      </c>
      <c r="V56">
        <v>1.1399999999999999</v>
      </c>
      <c r="W56">
        <v>4.5999999999999999E-2</v>
      </c>
      <c r="X56">
        <v>80</v>
      </c>
      <c r="Y56">
        <v>59</v>
      </c>
      <c r="Z56">
        <v>63.594779636234314</v>
      </c>
      <c r="AA56">
        <v>220.02786038194412</v>
      </c>
      <c r="AB56">
        <v>284.09685928531206</v>
      </c>
      <c r="AC56">
        <v>1.9732244906150889</v>
      </c>
      <c r="AD56">
        <v>1.2874000000000001</v>
      </c>
      <c r="AE56">
        <v>4.4542000000000002</v>
      </c>
      <c r="AF56">
        <v>5.7511999999999999</v>
      </c>
      <c r="AG56">
        <v>1.2718955927246862</v>
      </c>
      <c r="AH56">
        <v>4.4005572076388821</v>
      </c>
      <c r="AI56">
        <v>5.6819371857062411</v>
      </c>
      <c r="AJ56">
        <v>2.5</v>
      </c>
      <c r="AK56">
        <v>0.14594016101774243</v>
      </c>
      <c r="AL56">
        <v>4.1525313857859469</v>
      </c>
      <c r="AM56">
        <v>5.3937541764341805</v>
      </c>
      <c r="AN56">
        <v>5.6493152338370933</v>
      </c>
      <c r="AO56">
        <v>0.02</v>
      </c>
      <c r="AP56">
        <v>1.9999999999999997E-2</v>
      </c>
      <c r="AQ56">
        <v>0.02</v>
      </c>
      <c r="AS56">
        <f t="shared" si="0"/>
        <v>1.0254664005271346</v>
      </c>
      <c r="AT56" s="1">
        <v>9.8442442509999993E-4</v>
      </c>
      <c r="AU56">
        <f t="shared" si="1"/>
        <v>2.0562891495696212</v>
      </c>
      <c r="AV56">
        <f t="shared" si="2"/>
        <v>8.4913834754026585E-2</v>
      </c>
      <c r="BK56">
        <f t="shared" si="10"/>
        <v>1.9863816191729942</v>
      </c>
      <c r="BL56">
        <f t="shared" si="3"/>
        <v>0.12355803696211427</v>
      </c>
      <c r="BN56" s="1">
        <f t="shared" si="4"/>
        <v>3.6927394349292307E-3</v>
      </c>
      <c r="BO56">
        <f t="shared" si="5"/>
        <v>8.4833501684769871E-2</v>
      </c>
      <c r="BP56">
        <f t="shared" si="6"/>
        <v>-2.7725992800879054E-6</v>
      </c>
      <c r="BQ56">
        <f t="shared" si="7"/>
        <v>4.1503243429885555E-5</v>
      </c>
      <c r="BR56">
        <f t="shared" si="8"/>
        <v>1.3450031027214426E-2</v>
      </c>
      <c r="BS56">
        <f t="shared" si="9"/>
        <v>0.12282379017556674</v>
      </c>
    </row>
    <row r="57" spans="1:71" x14ac:dyDescent="0.2">
      <c r="A57">
        <v>26093</v>
      </c>
      <c r="B57" t="s">
        <v>50</v>
      </c>
      <c r="C57" t="s">
        <v>106</v>
      </c>
      <c r="D57">
        <v>43.667000000000002</v>
      </c>
      <c r="E57">
        <v>-79.400000000000006</v>
      </c>
      <c r="F57">
        <v>75</v>
      </c>
      <c r="G57">
        <v>1009</v>
      </c>
      <c r="H57">
        <v>59.59</v>
      </c>
      <c r="I57">
        <v>12.5</v>
      </c>
      <c r="J57">
        <v>64.05</v>
      </c>
      <c r="K57">
        <v>223.64</v>
      </c>
      <c r="L57">
        <v>289.66000000000003</v>
      </c>
      <c r="M57">
        <v>459.51</v>
      </c>
      <c r="N57">
        <v>1320.2</v>
      </c>
      <c r="O57">
        <v>0.28639999999999999</v>
      </c>
      <c r="P57">
        <v>0.77200000000000002</v>
      </c>
      <c r="Q57">
        <v>1.2E-2</v>
      </c>
      <c r="R57">
        <v>0.01</v>
      </c>
      <c r="S57">
        <v>323.8</v>
      </c>
      <c r="T57">
        <v>231.6</v>
      </c>
      <c r="U57">
        <v>388.8</v>
      </c>
      <c r="V57">
        <v>1.1499999999999999</v>
      </c>
      <c r="W57">
        <v>5.1999999999999998E-2</v>
      </c>
      <c r="X57">
        <v>80</v>
      </c>
      <c r="Y57">
        <v>58.8</v>
      </c>
      <c r="Z57">
        <v>63.278633458145215</v>
      </c>
      <c r="AA57">
        <v>220.94666021201553</v>
      </c>
      <c r="AB57">
        <v>286.17156857902177</v>
      </c>
      <c r="AC57">
        <v>1.9703106859747617</v>
      </c>
      <c r="AD57">
        <v>1.2809999999999999</v>
      </c>
      <c r="AE57">
        <v>4.4727999999999994</v>
      </c>
      <c r="AF57">
        <v>5.7932000000000006</v>
      </c>
      <c r="AG57">
        <v>1.2655726691629041</v>
      </c>
      <c r="AH57">
        <v>4.41893320424031</v>
      </c>
      <c r="AI57">
        <v>5.7234313715804355</v>
      </c>
      <c r="AJ57">
        <v>2.5</v>
      </c>
      <c r="AK57">
        <v>0.14543649593678692</v>
      </c>
      <c r="AL57">
        <v>4.1475477280641657</v>
      </c>
      <c r="AM57">
        <v>5.3979213158798665</v>
      </c>
      <c r="AN57">
        <v>5.6565915210941329</v>
      </c>
      <c r="AO57">
        <v>1.9999999999999997E-2</v>
      </c>
      <c r="AP57">
        <v>1.9999999999999997E-2</v>
      </c>
      <c r="AQ57">
        <v>0.02</v>
      </c>
      <c r="AS57">
        <f t="shared" si="0"/>
        <v>1.0254664005271346</v>
      </c>
      <c r="AT57" s="1">
        <v>9.8442442509999993E-4</v>
      </c>
      <c r="AU57">
        <f t="shared" si="1"/>
        <v>2.0529025356164361</v>
      </c>
      <c r="AV57">
        <f t="shared" si="2"/>
        <v>8.4577300831359781E-2</v>
      </c>
      <c r="BK57">
        <f t="shared" si="10"/>
        <v>1.9833929233215193</v>
      </c>
      <c r="BL57">
        <f t="shared" si="3"/>
        <v>0.12313086695162753</v>
      </c>
      <c r="BN57" s="1">
        <f t="shared" si="4"/>
        <v>3.672644442039269E-3</v>
      </c>
      <c r="BO57">
        <f t="shared" si="5"/>
        <v>8.4497523624782578E-2</v>
      </c>
      <c r="BP57">
        <f t="shared" si="6"/>
        <v>-2.7568174689428534E-6</v>
      </c>
      <c r="BQ57">
        <f t="shared" si="7"/>
        <v>4.1267004333085096E-5</v>
      </c>
      <c r="BR57">
        <f t="shared" si="8"/>
        <v>1.3396725323677534E-2</v>
      </c>
      <c r="BS57">
        <f t="shared" si="9"/>
        <v>0.12239990374299993</v>
      </c>
    </row>
    <row r="58" spans="1:71" x14ac:dyDescent="0.2">
      <c r="A58">
        <v>26093</v>
      </c>
      <c r="B58" t="s">
        <v>50</v>
      </c>
      <c r="C58" t="s">
        <v>107</v>
      </c>
      <c r="D58">
        <v>43.667000000000002</v>
      </c>
      <c r="E58">
        <v>-79.400000000000006</v>
      </c>
      <c r="F58">
        <v>75</v>
      </c>
      <c r="G58">
        <v>1009</v>
      </c>
      <c r="H58">
        <v>59.55</v>
      </c>
      <c r="I58">
        <v>12.5</v>
      </c>
      <c r="J58">
        <v>63.83</v>
      </c>
      <c r="K58">
        <v>223.85</v>
      </c>
      <c r="L58">
        <v>291.19</v>
      </c>
      <c r="M58">
        <v>464.39</v>
      </c>
      <c r="N58">
        <v>1320.54</v>
      </c>
      <c r="O58">
        <v>0.28510000000000002</v>
      </c>
      <c r="P58">
        <v>0.76870000000000005</v>
      </c>
      <c r="Q58">
        <v>1.2999999999999999E-2</v>
      </c>
      <c r="R58">
        <v>1.0999999999999999E-2</v>
      </c>
      <c r="S58">
        <v>325</v>
      </c>
      <c r="T58">
        <v>233.9</v>
      </c>
      <c r="U58">
        <v>389.3</v>
      </c>
      <c r="V58">
        <v>1.1399999999999999</v>
      </c>
      <c r="W58">
        <v>5.1999999999999998E-2</v>
      </c>
      <c r="X58">
        <v>80</v>
      </c>
      <c r="Y58">
        <v>58.7</v>
      </c>
      <c r="Z58">
        <v>63.061282960708958</v>
      </c>
      <c r="AA58">
        <v>221.1541311413865</v>
      </c>
      <c r="AB58">
        <v>287.68314249301022</v>
      </c>
      <c r="AC58">
        <v>1.9679868801453959</v>
      </c>
      <c r="AD58">
        <v>1.2766</v>
      </c>
      <c r="AE58">
        <v>4.4770000000000003</v>
      </c>
      <c r="AF58">
        <v>5.8238000000000003</v>
      </c>
      <c r="AG58">
        <v>1.2612256592141793</v>
      </c>
      <c r="AH58">
        <v>4.4230826228277307</v>
      </c>
      <c r="AI58">
        <v>5.7536628498602047</v>
      </c>
      <c r="AJ58">
        <v>2.5</v>
      </c>
      <c r="AK58">
        <v>0.14503531380925769</v>
      </c>
      <c r="AL58">
        <v>4.1441069989893879</v>
      </c>
      <c r="AM58">
        <v>5.398859884408397</v>
      </c>
      <c r="AN58">
        <v>5.6618596747949583</v>
      </c>
      <c r="AO58">
        <v>0.02</v>
      </c>
      <c r="AP58">
        <v>2.0000000000000004E-2</v>
      </c>
      <c r="AQ58">
        <v>0.02</v>
      </c>
      <c r="AS58">
        <f t="shared" si="0"/>
        <v>1.0254664005271346</v>
      </c>
      <c r="AT58" s="1">
        <v>9.8442442509999993E-4</v>
      </c>
      <c r="AU58">
        <f t="shared" si="1"/>
        <v>2.0502028961425078</v>
      </c>
      <c r="AV58">
        <f t="shared" si="2"/>
        <v>8.4309487720623369E-2</v>
      </c>
      <c r="BK58">
        <f t="shared" si="10"/>
        <v>1.9810095868609547</v>
      </c>
      <c r="BL58">
        <f t="shared" si="3"/>
        <v>0.12279061959634473</v>
      </c>
      <c r="BN58" s="1">
        <f t="shared" si="4"/>
        <v>3.6566746674840597E-3</v>
      </c>
      <c r="BO58">
        <f t="shared" si="5"/>
        <v>8.4230151668450187E-2</v>
      </c>
      <c r="BP58">
        <f t="shared" si="6"/>
        <v>-2.7442725899839547E-6</v>
      </c>
      <c r="BQ58">
        <f t="shared" si="7"/>
        <v>4.1079219113284744E-5</v>
      </c>
      <c r="BR58">
        <f t="shared" si="8"/>
        <v>1.3354304737452288E-2</v>
      </c>
      <c r="BS58">
        <f t="shared" si="9"/>
        <v>0.12206226735072645</v>
      </c>
    </row>
    <row r="59" spans="1:71" x14ac:dyDescent="0.2">
      <c r="A59">
        <v>26093</v>
      </c>
      <c r="B59" t="s">
        <v>50</v>
      </c>
      <c r="C59" t="s">
        <v>108</v>
      </c>
      <c r="D59">
        <v>43.667000000000002</v>
      </c>
      <c r="E59">
        <v>-79.400000000000006</v>
      </c>
      <c r="F59">
        <v>75</v>
      </c>
      <c r="G59">
        <v>1009</v>
      </c>
      <c r="H59">
        <v>59.5</v>
      </c>
      <c r="I59">
        <v>12.6</v>
      </c>
      <c r="J59">
        <v>64.94</v>
      </c>
      <c r="K59">
        <v>227.4</v>
      </c>
      <c r="L59">
        <v>295.56</v>
      </c>
      <c r="M59">
        <v>478.16</v>
      </c>
      <c r="N59">
        <v>1337.11</v>
      </c>
      <c r="O59">
        <v>0.28560000000000002</v>
      </c>
      <c r="P59">
        <v>0.76939999999999997</v>
      </c>
      <c r="Q59">
        <v>1.7000000000000001E-2</v>
      </c>
      <c r="R59">
        <v>4.0000000000000001E-3</v>
      </c>
      <c r="S59">
        <v>325.2</v>
      </c>
      <c r="T59">
        <v>233.9</v>
      </c>
      <c r="U59">
        <v>389.6</v>
      </c>
      <c r="V59">
        <v>1.1100000000000001</v>
      </c>
      <c r="W59">
        <v>4.5999999999999999E-2</v>
      </c>
      <c r="X59">
        <v>80</v>
      </c>
      <c r="Y59">
        <v>58.3</v>
      </c>
      <c r="Z59">
        <v>64.15791501595551</v>
      </c>
      <c r="AA59">
        <v>224.66137780456242</v>
      </c>
      <c r="AB59">
        <v>292.00051373753939</v>
      </c>
      <c r="AC59">
        <v>1.9650911295003521</v>
      </c>
      <c r="AD59">
        <v>1.2988</v>
      </c>
      <c r="AE59">
        <v>4.548</v>
      </c>
      <c r="AF59">
        <v>5.9112</v>
      </c>
      <c r="AG59">
        <v>1.28315830031911</v>
      </c>
      <c r="AH59">
        <v>4.4932275560912478</v>
      </c>
      <c r="AI59">
        <v>5.8400102747507887</v>
      </c>
      <c r="AJ59">
        <v>2.5</v>
      </c>
      <c r="AK59">
        <v>0.14453601037120276</v>
      </c>
      <c r="AL59">
        <v>4.1613474663961219</v>
      </c>
      <c r="AM59">
        <v>5.414594281037858</v>
      </c>
      <c r="AN59">
        <v>5.676755561641869</v>
      </c>
      <c r="AO59">
        <v>1.9999999999999997E-2</v>
      </c>
      <c r="AP59">
        <v>1.9999999999999997E-2</v>
      </c>
      <c r="AQ59">
        <v>2.0000000000000004E-2</v>
      </c>
      <c r="AS59">
        <f t="shared" si="0"/>
        <v>1.0254664005271346</v>
      </c>
      <c r="AT59" s="1">
        <v>9.8442442509999993E-4</v>
      </c>
      <c r="AU59">
        <f t="shared" si="1"/>
        <v>2.046840345835963</v>
      </c>
      <c r="AV59">
        <f t="shared" si="2"/>
        <v>8.3976475555336022E-2</v>
      </c>
      <c r="BK59">
        <f t="shared" si="10"/>
        <v>1.9780398969108628</v>
      </c>
      <c r="BL59">
        <f t="shared" si="3"/>
        <v>0.12236715993712166</v>
      </c>
      <c r="BN59" s="1">
        <f t="shared" si="4"/>
        <v>3.6368440629729864E-3</v>
      </c>
      <c r="BO59">
        <f t="shared" si="5"/>
        <v>8.3897686570951216E-2</v>
      </c>
      <c r="BP59">
        <f t="shared" si="6"/>
        <v>-2.728691373836042E-6</v>
      </c>
      <c r="BQ59">
        <f t="shared" si="7"/>
        <v>4.0845982737814004E-5</v>
      </c>
      <c r="BR59">
        <f t="shared" si="8"/>
        <v>1.3301556866995969E-2</v>
      </c>
      <c r="BS59">
        <f t="shared" si="9"/>
        <v>0.12164205169328214</v>
      </c>
    </row>
    <row r="60" spans="1:71" x14ac:dyDescent="0.2">
      <c r="A60">
        <v>26093</v>
      </c>
      <c r="B60" t="s">
        <v>50</v>
      </c>
      <c r="C60" t="s">
        <v>109</v>
      </c>
      <c r="D60">
        <v>43.667000000000002</v>
      </c>
      <c r="E60">
        <v>-79.400000000000006</v>
      </c>
      <c r="F60">
        <v>75</v>
      </c>
      <c r="G60">
        <v>1009</v>
      </c>
      <c r="H60">
        <v>59.46</v>
      </c>
      <c r="I60">
        <v>12.6</v>
      </c>
      <c r="J60">
        <v>64.55</v>
      </c>
      <c r="K60">
        <v>224.46</v>
      </c>
      <c r="L60">
        <v>295.06</v>
      </c>
      <c r="M60">
        <v>467</v>
      </c>
      <c r="N60">
        <v>1313.17</v>
      </c>
      <c r="O60">
        <v>0.28760000000000002</v>
      </c>
      <c r="P60">
        <v>0.76070000000000004</v>
      </c>
      <c r="Q60">
        <v>0</v>
      </c>
      <c r="R60">
        <v>1E-3</v>
      </c>
      <c r="S60">
        <v>324.39999999999998</v>
      </c>
      <c r="T60">
        <v>239.4</v>
      </c>
      <c r="U60">
        <v>384.4</v>
      </c>
      <c r="V60">
        <v>1.1200000000000001</v>
      </c>
      <c r="W60">
        <v>5.5E-2</v>
      </c>
      <c r="X60">
        <v>80</v>
      </c>
      <c r="Y60">
        <v>58.4</v>
      </c>
      <c r="Z60">
        <v>63.772611861409423</v>
      </c>
      <c r="AA60">
        <v>221.75678479336887</v>
      </c>
      <c r="AB60">
        <v>291.50653533427521</v>
      </c>
      <c r="AC60">
        <v>1.9627817042303852</v>
      </c>
      <c r="AD60">
        <v>1.2909999999999999</v>
      </c>
      <c r="AE60">
        <v>4.4892000000000003</v>
      </c>
      <c r="AF60">
        <v>5.9012000000000002</v>
      </c>
      <c r="AG60">
        <v>1.2754522372281885</v>
      </c>
      <c r="AH60">
        <v>4.4351356958673769</v>
      </c>
      <c r="AI60">
        <v>5.8301307066855044</v>
      </c>
      <c r="AJ60">
        <v>2.5</v>
      </c>
      <c r="AK60">
        <v>0.14413829726279614</v>
      </c>
      <c r="AL60">
        <v>4.1553238170140734</v>
      </c>
      <c r="AM60">
        <v>5.4015812173095323</v>
      </c>
      <c r="AN60">
        <v>5.675062425210843</v>
      </c>
      <c r="AO60">
        <v>0.02</v>
      </c>
      <c r="AP60">
        <v>1.9999999999999997E-2</v>
      </c>
      <c r="AQ60">
        <v>0.02</v>
      </c>
      <c r="AS60">
        <f t="shared" si="0"/>
        <v>1.0254664005271346</v>
      </c>
      <c r="AT60" s="1">
        <v>9.8442442509999993E-4</v>
      </c>
      <c r="AU60">
        <f t="shared" si="1"/>
        <v>2.0441598564598045</v>
      </c>
      <c r="AV60">
        <f t="shared" si="2"/>
        <v>8.3711459405122868E-2</v>
      </c>
      <c r="BK60">
        <f t="shared" si="10"/>
        <v>1.9756716964865781</v>
      </c>
      <c r="BL60">
        <f t="shared" si="3"/>
        <v>0.12202986351805017</v>
      </c>
      <c r="BN60" s="1">
        <f t="shared" si="4"/>
        <v>3.621084016719925E-3</v>
      </c>
      <c r="BO60">
        <f t="shared" si="5"/>
        <v>8.3633104607442318E-2</v>
      </c>
      <c r="BP60">
        <f t="shared" si="6"/>
        <v>-2.716305696381369E-6</v>
      </c>
      <c r="BQ60">
        <f t="shared" si="7"/>
        <v>4.0660580617090289E-5</v>
      </c>
      <c r="BR60">
        <f t="shared" si="8"/>
        <v>1.3259579308764084E-2</v>
      </c>
      <c r="BS60">
        <f t="shared" si="9"/>
        <v>0.12130733484059163</v>
      </c>
    </row>
    <row r="61" spans="1:71" x14ac:dyDescent="0.2">
      <c r="A61">
        <v>26093</v>
      </c>
      <c r="B61" t="s">
        <v>50</v>
      </c>
      <c r="C61" t="s">
        <v>110</v>
      </c>
      <c r="D61">
        <v>43.667000000000002</v>
      </c>
      <c r="E61">
        <v>-79.400000000000006</v>
      </c>
      <c r="F61">
        <v>75</v>
      </c>
      <c r="G61">
        <v>1012</v>
      </c>
      <c r="H61">
        <v>48.06</v>
      </c>
      <c r="I61">
        <v>17.3</v>
      </c>
      <c r="J61">
        <v>208.94</v>
      </c>
      <c r="K61">
        <v>462.15</v>
      </c>
      <c r="L61">
        <v>486.8</v>
      </c>
      <c r="M61">
        <v>554.72</v>
      </c>
      <c r="N61">
        <v>1357.89</v>
      </c>
      <c r="O61">
        <v>0.4521</v>
      </c>
      <c r="P61">
        <v>0.94940000000000002</v>
      </c>
      <c r="Q61">
        <v>2E-3</v>
      </c>
      <c r="R61">
        <v>3.0000000000000001E-3</v>
      </c>
      <c r="S61">
        <v>325.5</v>
      </c>
      <c r="T61">
        <v>209.1</v>
      </c>
      <c r="U61">
        <v>407.8</v>
      </c>
      <c r="V61">
        <v>1.22</v>
      </c>
      <c r="W61">
        <v>5.2999999999999999E-2</v>
      </c>
      <c r="X61">
        <v>80</v>
      </c>
      <c r="Y61">
        <v>48</v>
      </c>
      <c r="Z61">
        <v>206.42369515604778</v>
      </c>
      <c r="AA61">
        <v>456.58423813710868</v>
      </c>
      <c r="AB61">
        <v>480.93737341803421</v>
      </c>
      <c r="AC61">
        <v>1.4945099711528904</v>
      </c>
      <c r="AD61">
        <v>4.1787999999999998</v>
      </c>
      <c r="AE61">
        <v>9.2430000000000003</v>
      </c>
      <c r="AF61">
        <v>9.7360000000000007</v>
      </c>
      <c r="AG61">
        <v>4.1284739031209554</v>
      </c>
      <c r="AH61">
        <v>9.1316847627421733</v>
      </c>
      <c r="AI61">
        <v>9.6187474683606844</v>
      </c>
      <c r="AJ61">
        <v>2.5</v>
      </c>
      <c r="AK61">
        <v>7.227629453756812E-2</v>
      </c>
      <c r="AL61">
        <v>5.3299308291307836</v>
      </c>
      <c r="AM61">
        <v>6.1237732134322087</v>
      </c>
      <c r="AN61">
        <v>6.1757370608347939</v>
      </c>
      <c r="AO61">
        <v>1.9999999999999997E-2</v>
      </c>
      <c r="AP61">
        <v>0.02</v>
      </c>
      <c r="AQ61">
        <v>0.02</v>
      </c>
      <c r="AS61">
        <f t="shared" si="0"/>
        <v>1.0254664005271346</v>
      </c>
      <c r="AT61" s="1">
        <v>9.8442442509999993E-4</v>
      </c>
      <c r="AU61">
        <f t="shared" si="1"/>
        <v>1.5203895448392106</v>
      </c>
      <c r="AV61">
        <f t="shared" si="2"/>
        <v>3.9110773548062888E-2</v>
      </c>
      <c r="BK61">
        <f t="shared" si="10"/>
        <v>1.498609197975709</v>
      </c>
      <c r="BL61">
        <f t="shared" si="3"/>
        <v>6.1142653125671756E-2</v>
      </c>
      <c r="BN61" s="1">
        <f t="shared" si="4"/>
        <v>1.2867658672418225E-3</v>
      </c>
      <c r="BO61">
        <f t="shared" si="5"/>
        <v>3.9089600165910586E-2</v>
      </c>
      <c r="BP61">
        <f t="shared" si="6"/>
        <v>-8.6382931411239103E-7</v>
      </c>
      <c r="BQ61">
        <f t="shared" si="7"/>
        <v>1.2930724812256665E-5</v>
      </c>
      <c r="BR61">
        <f t="shared" si="8"/>
        <v>6.1949989568084885E-3</v>
      </c>
      <c r="BS61">
        <f t="shared" si="9"/>
        <v>6.0828002196533754E-2</v>
      </c>
    </row>
    <row r="62" spans="1:71" x14ac:dyDescent="0.2">
      <c r="A62">
        <v>26093</v>
      </c>
      <c r="B62" t="s">
        <v>50</v>
      </c>
      <c r="C62" t="s">
        <v>111</v>
      </c>
      <c r="D62">
        <v>43.667000000000002</v>
      </c>
      <c r="E62">
        <v>-79.400000000000006</v>
      </c>
      <c r="F62">
        <v>75</v>
      </c>
      <c r="G62">
        <v>1012</v>
      </c>
      <c r="H62">
        <v>48.1</v>
      </c>
      <c r="I62">
        <v>17.5</v>
      </c>
      <c r="J62">
        <v>209.78</v>
      </c>
      <c r="K62">
        <v>465.41</v>
      </c>
      <c r="L62">
        <v>490.77</v>
      </c>
      <c r="M62">
        <v>559.37</v>
      </c>
      <c r="N62">
        <v>1369.64</v>
      </c>
      <c r="O62">
        <v>0.45069999999999999</v>
      </c>
      <c r="P62">
        <v>0.94830000000000003</v>
      </c>
      <c r="Q62">
        <v>2E-3</v>
      </c>
      <c r="R62">
        <v>0</v>
      </c>
      <c r="S62">
        <v>326</v>
      </c>
      <c r="T62">
        <v>209.5</v>
      </c>
      <c r="U62">
        <v>408.3</v>
      </c>
      <c r="V62">
        <v>1.22</v>
      </c>
      <c r="W62">
        <v>4.7E-2</v>
      </c>
      <c r="X62">
        <v>80</v>
      </c>
      <c r="Y62">
        <v>47.6</v>
      </c>
      <c r="Z62">
        <v>207.25357887353167</v>
      </c>
      <c r="AA62">
        <v>459.80497732639134</v>
      </c>
      <c r="AB62">
        <v>484.85956193995202</v>
      </c>
      <c r="AC62">
        <v>1.4956676530422404</v>
      </c>
      <c r="AD62">
        <v>4.1955999999999998</v>
      </c>
      <c r="AE62">
        <v>9.3082000000000011</v>
      </c>
      <c r="AF62">
        <v>9.8154000000000003</v>
      </c>
      <c r="AG62">
        <v>4.1450715774706328</v>
      </c>
      <c r="AH62">
        <v>9.1960995465278277</v>
      </c>
      <c r="AI62">
        <v>9.6971912387990411</v>
      </c>
      <c r="AJ62">
        <v>2.5</v>
      </c>
      <c r="AK62">
        <v>7.2433475352379498E-2</v>
      </c>
      <c r="AL62">
        <v>5.33394306225488</v>
      </c>
      <c r="AM62">
        <v>6.1308024372517691</v>
      </c>
      <c r="AN62">
        <v>6.1838592859956121</v>
      </c>
      <c r="AO62">
        <v>1.9999999999999997E-2</v>
      </c>
      <c r="AP62">
        <v>0.02</v>
      </c>
      <c r="AQ62">
        <v>0.02</v>
      </c>
      <c r="AS62">
        <f t="shared" si="0"/>
        <v>1.0254664005271346</v>
      </c>
      <c r="AT62" s="1">
        <v>9.8442442509999993E-4</v>
      </c>
      <c r="AU62">
        <f t="shared" si="1"/>
        <v>1.5216418635767288</v>
      </c>
      <c r="AV62">
        <f t="shared" si="2"/>
        <v>3.9201622819532371E-2</v>
      </c>
      <c r="BK62">
        <f t="shared" si="10"/>
        <v>1.4997818699847241</v>
      </c>
      <c r="BL62">
        <f t="shared" si="3"/>
        <v>6.1275714371791336E-2</v>
      </c>
      <c r="BN62" s="1">
        <f t="shared" si="4"/>
        <v>1.2907569895392959E-3</v>
      </c>
      <c r="BO62">
        <f t="shared" si="5"/>
        <v>3.918036725298573E-2</v>
      </c>
      <c r="BP62">
        <f t="shared" si="6"/>
        <v>-8.6698817927121489E-7</v>
      </c>
      <c r="BQ62">
        <f t="shared" si="7"/>
        <v>1.2978010098158019E-5</v>
      </c>
      <c r="BR62">
        <f t="shared" si="8"/>
        <v>6.209389138615776E-3</v>
      </c>
      <c r="BS62">
        <f t="shared" si="9"/>
        <v>6.0960286163355408E-2</v>
      </c>
    </row>
    <row r="63" spans="1:71" x14ac:dyDescent="0.2">
      <c r="A63">
        <v>26093</v>
      </c>
      <c r="B63" t="s">
        <v>50</v>
      </c>
      <c r="C63" t="s">
        <v>112</v>
      </c>
      <c r="D63">
        <v>43.667000000000002</v>
      </c>
      <c r="E63">
        <v>-79.400000000000006</v>
      </c>
      <c r="F63">
        <v>75</v>
      </c>
      <c r="G63">
        <v>1012</v>
      </c>
      <c r="H63">
        <v>48.13</v>
      </c>
      <c r="I63">
        <v>17.600000000000001</v>
      </c>
      <c r="J63">
        <v>208.27</v>
      </c>
      <c r="K63">
        <v>463.29</v>
      </c>
      <c r="L63">
        <v>490.19</v>
      </c>
      <c r="M63">
        <v>557.74</v>
      </c>
      <c r="N63">
        <v>1361.96</v>
      </c>
      <c r="O63">
        <v>0.44950000000000001</v>
      </c>
      <c r="P63">
        <v>0.94510000000000005</v>
      </c>
      <c r="Q63">
        <v>5.0000000000000001E-3</v>
      </c>
      <c r="R63">
        <v>1E-3</v>
      </c>
      <c r="S63">
        <v>326.5</v>
      </c>
      <c r="T63">
        <v>211.3</v>
      </c>
      <c r="U63">
        <v>407.8</v>
      </c>
      <c r="V63">
        <v>1.21</v>
      </c>
      <c r="W63">
        <v>5.0999999999999997E-2</v>
      </c>
      <c r="X63">
        <v>80</v>
      </c>
      <c r="Y63">
        <v>47.4</v>
      </c>
      <c r="Z63">
        <v>205.76176409567375</v>
      </c>
      <c r="AA63">
        <v>457.71050889655112</v>
      </c>
      <c r="AB63">
        <v>484.28654699216554</v>
      </c>
      <c r="AC63">
        <v>1.4965375667769889</v>
      </c>
      <c r="AD63">
        <v>4.1654</v>
      </c>
      <c r="AE63">
        <v>9.2658000000000005</v>
      </c>
      <c r="AF63">
        <v>9.8038000000000007</v>
      </c>
      <c r="AG63">
        <v>4.115235281913475</v>
      </c>
      <c r="AH63">
        <v>9.1542101779310219</v>
      </c>
      <c r="AI63">
        <v>9.685730939843312</v>
      </c>
      <c r="AJ63">
        <v>2.5</v>
      </c>
      <c r="AK63">
        <v>7.2551646088134664E-2</v>
      </c>
      <c r="AL63">
        <v>5.3267190145723466</v>
      </c>
      <c r="AM63">
        <v>6.1262369076244418</v>
      </c>
      <c r="AN63">
        <v>6.1826767707705539</v>
      </c>
      <c r="AO63">
        <v>0.02</v>
      </c>
      <c r="AP63">
        <v>0.02</v>
      </c>
      <c r="AQ63">
        <v>2.0000000000000004E-2</v>
      </c>
      <c r="AS63">
        <f t="shared" si="0"/>
        <v>1.0254664005271346</v>
      </c>
      <c r="AT63" s="1">
        <v>9.8442442509999993E-4</v>
      </c>
      <c r="AU63">
        <f t="shared" si="1"/>
        <v>1.5225830111734626</v>
      </c>
      <c r="AV63">
        <f t="shared" si="2"/>
        <v>3.9269942766096529E-2</v>
      </c>
      <c r="BK63">
        <f t="shared" si="10"/>
        <v>1.5006630668944305</v>
      </c>
      <c r="BL63">
        <f t="shared" si="3"/>
        <v>6.1375751979328465E-2</v>
      </c>
      <c r="BN63" s="1">
        <f t="shared" si="4"/>
        <v>1.2937608456289925E-3</v>
      </c>
      <c r="BO63">
        <f t="shared" si="5"/>
        <v>3.9248625297286711E-2</v>
      </c>
      <c r="BP63">
        <f t="shared" si="6"/>
        <v>-8.6936588065401742E-7</v>
      </c>
      <c r="BQ63">
        <f t="shared" si="7"/>
        <v>1.3013602085793141E-5</v>
      </c>
      <c r="BR63">
        <f t="shared" si="8"/>
        <v>6.220210760365958E-3</v>
      </c>
      <c r="BS63">
        <f t="shared" si="9"/>
        <v>6.1059739100450088E-2</v>
      </c>
    </row>
    <row r="64" spans="1:71" x14ac:dyDescent="0.2">
      <c r="A64">
        <v>26093</v>
      </c>
      <c r="B64" t="s">
        <v>50</v>
      </c>
      <c r="C64" t="s">
        <v>113</v>
      </c>
      <c r="D64">
        <v>43.667000000000002</v>
      </c>
      <c r="E64">
        <v>-79.400000000000006</v>
      </c>
      <c r="F64">
        <v>75</v>
      </c>
      <c r="G64">
        <v>1012</v>
      </c>
      <c r="H64">
        <v>48.16</v>
      </c>
      <c r="I64">
        <v>17.600000000000001</v>
      </c>
      <c r="J64">
        <v>204.1</v>
      </c>
      <c r="K64">
        <v>458.02</v>
      </c>
      <c r="L64">
        <v>487.82</v>
      </c>
      <c r="M64">
        <v>546</v>
      </c>
      <c r="N64">
        <v>1341.14</v>
      </c>
      <c r="O64">
        <v>0.4456</v>
      </c>
      <c r="P64">
        <v>0.93889999999999996</v>
      </c>
      <c r="Q64">
        <v>2E-3</v>
      </c>
      <c r="R64">
        <v>5.0000000000000001E-3</v>
      </c>
      <c r="S64">
        <v>328.4</v>
      </c>
      <c r="T64">
        <v>215</v>
      </c>
      <c r="U64">
        <v>408.4</v>
      </c>
      <c r="V64">
        <v>1.22</v>
      </c>
      <c r="W64">
        <v>6.0999999999999999E-2</v>
      </c>
      <c r="X64">
        <v>80</v>
      </c>
      <c r="Y64">
        <v>46.7</v>
      </c>
      <c r="Z64">
        <v>201.64198421245024</v>
      </c>
      <c r="AA64">
        <v>452.50397652614629</v>
      </c>
      <c r="AB64">
        <v>481.9450893606932</v>
      </c>
      <c r="AC64">
        <v>1.4974089000476971</v>
      </c>
      <c r="AD64">
        <v>4.0819999999999999</v>
      </c>
      <c r="AE64">
        <v>9.1603999999999992</v>
      </c>
      <c r="AF64">
        <v>9.7563999999999993</v>
      </c>
      <c r="AG64">
        <v>4.0328396842490051</v>
      </c>
      <c r="AH64">
        <v>9.0500795305229254</v>
      </c>
      <c r="AI64">
        <v>9.6389017872138627</v>
      </c>
      <c r="AJ64">
        <v>2.5</v>
      </c>
      <c r="AK64">
        <v>7.2670061998344443E-2</v>
      </c>
      <c r="AL64">
        <v>5.3064937695372212</v>
      </c>
      <c r="AM64">
        <v>6.1147965510044529</v>
      </c>
      <c r="AN64">
        <v>6.1778301850727519</v>
      </c>
      <c r="AO64">
        <v>0.02</v>
      </c>
      <c r="AP64">
        <v>0.02</v>
      </c>
      <c r="AQ64">
        <v>1.9999999999999997E-2</v>
      </c>
      <c r="AS64">
        <f t="shared" si="0"/>
        <v>1.0254664005271346</v>
      </c>
      <c r="AT64" s="1">
        <v>9.8442442509999993E-4</v>
      </c>
      <c r="AU64">
        <f t="shared" si="1"/>
        <v>1.5235257988485089</v>
      </c>
      <c r="AV64">
        <f t="shared" si="2"/>
        <v>3.9338420128924821E-2</v>
      </c>
      <c r="BK64">
        <f t="shared" si="10"/>
        <v>1.5015457182731735</v>
      </c>
      <c r="BL64">
        <f t="shared" si="3"/>
        <v>6.1475997398943896E-2</v>
      </c>
      <c r="BN64" s="1">
        <f t="shared" si="4"/>
        <v>1.2967737527074326E-3</v>
      </c>
      <c r="BO64">
        <f t="shared" si="5"/>
        <v>3.9317040530463206E-2</v>
      </c>
      <c r="BP64">
        <f t="shared" si="6"/>
        <v>-8.7175094347761063E-7</v>
      </c>
      <c r="BQ64">
        <f t="shared" si="7"/>
        <v>1.3049304267379229E-5</v>
      </c>
      <c r="BR64">
        <f t="shared" si="8"/>
        <v>6.2310573162584143E-3</v>
      </c>
      <c r="BS64">
        <f t="shared" si="9"/>
        <v>6.1159398377290862E-2</v>
      </c>
    </row>
    <row r="65" spans="1:71" x14ac:dyDescent="0.2">
      <c r="A65">
        <v>26093</v>
      </c>
      <c r="B65" t="s">
        <v>50</v>
      </c>
      <c r="C65" t="s">
        <v>114</v>
      </c>
      <c r="D65">
        <v>43.667000000000002</v>
      </c>
      <c r="E65">
        <v>-79.400000000000006</v>
      </c>
      <c r="F65">
        <v>75</v>
      </c>
      <c r="G65">
        <v>1012</v>
      </c>
      <c r="H65">
        <v>48.19</v>
      </c>
      <c r="I65">
        <v>17.600000000000001</v>
      </c>
      <c r="J65">
        <v>209.89</v>
      </c>
      <c r="K65">
        <v>466.73</v>
      </c>
      <c r="L65">
        <v>488.02</v>
      </c>
      <c r="M65">
        <v>568.03</v>
      </c>
      <c r="N65">
        <v>1372.03</v>
      </c>
      <c r="O65">
        <v>0.44969999999999999</v>
      </c>
      <c r="P65">
        <v>0.95640000000000003</v>
      </c>
      <c r="Q65">
        <v>1E-3</v>
      </c>
      <c r="R65">
        <v>1E-3</v>
      </c>
      <c r="S65">
        <v>325.89999999999998</v>
      </c>
      <c r="T65">
        <v>204.1</v>
      </c>
      <c r="U65">
        <v>412</v>
      </c>
      <c r="V65">
        <v>1.19</v>
      </c>
      <c r="W65">
        <v>4.5999999999999999E-2</v>
      </c>
      <c r="X65">
        <v>80</v>
      </c>
      <c r="Y65">
        <v>46.8</v>
      </c>
      <c r="Z65">
        <v>207.36225412224977</v>
      </c>
      <c r="AA65">
        <v>461.10908031100888</v>
      </c>
      <c r="AB65">
        <v>482.14268072199883</v>
      </c>
      <c r="AC65">
        <v>1.4982816558007812</v>
      </c>
      <c r="AD65">
        <v>4.1978</v>
      </c>
      <c r="AE65">
        <v>9.3346</v>
      </c>
      <c r="AF65">
        <v>9.7604000000000006</v>
      </c>
      <c r="AG65">
        <v>4.1472450824449956</v>
      </c>
      <c r="AH65">
        <v>9.2221816062201771</v>
      </c>
      <c r="AI65">
        <v>9.6428536144399786</v>
      </c>
      <c r="AJ65">
        <v>2.5</v>
      </c>
      <c r="AK65">
        <v>7.278872378941928E-2</v>
      </c>
      <c r="AL65">
        <v>5.3344672836789471</v>
      </c>
      <c r="AM65">
        <v>6.1336346317340267</v>
      </c>
      <c r="AN65">
        <v>6.1782400883413215</v>
      </c>
      <c r="AO65">
        <v>0.02</v>
      </c>
      <c r="AP65">
        <v>0.02</v>
      </c>
      <c r="AQ65">
        <v>2.0000000000000004E-2</v>
      </c>
      <c r="AS65">
        <f t="shared" si="0"/>
        <v>1.0254664005271346</v>
      </c>
      <c r="AT65" s="1">
        <v>9.8442442509999993E-4</v>
      </c>
      <c r="AU65">
        <f t="shared" si="1"/>
        <v>1.5244702303805142</v>
      </c>
      <c r="AV65">
        <f t="shared" si="2"/>
        <v>3.9407055418904095E-2</v>
      </c>
      <c r="BK65">
        <f t="shared" si="10"/>
        <v>1.5024298271991909</v>
      </c>
      <c r="BL65">
        <f t="shared" si="3"/>
        <v>6.1576451230389302E-2</v>
      </c>
      <c r="BN65" s="1">
        <f t="shared" si="4"/>
        <v>1.2997957457578568E-3</v>
      </c>
      <c r="BO65">
        <f t="shared" si="5"/>
        <v>3.9385613462378476E-2</v>
      </c>
      <c r="BP65">
        <f t="shared" si="6"/>
        <v>-8.7414339552084882E-7</v>
      </c>
      <c r="BQ65">
        <f t="shared" si="7"/>
        <v>1.3085117058740011E-5</v>
      </c>
      <c r="BR65">
        <f t="shared" si="8"/>
        <v>6.241928887215694E-3</v>
      </c>
      <c r="BS65">
        <f t="shared" si="9"/>
        <v>6.1259264588395437E-2</v>
      </c>
    </row>
    <row r="66" spans="1:71" x14ac:dyDescent="0.2">
      <c r="A66">
        <v>26093</v>
      </c>
      <c r="B66" t="s">
        <v>50</v>
      </c>
      <c r="C66" t="s">
        <v>115</v>
      </c>
      <c r="D66">
        <v>43.667000000000002</v>
      </c>
      <c r="E66">
        <v>-79.400000000000006</v>
      </c>
      <c r="F66">
        <v>75</v>
      </c>
      <c r="G66">
        <v>1012</v>
      </c>
      <c r="H66">
        <v>48.23</v>
      </c>
      <c r="I66">
        <v>17.5</v>
      </c>
      <c r="J66">
        <v>207.97</v>
      </c>
      <c r="K66">
        <v>463.76</v>
      </c>
      <c r="L66">
        <v>487.71</v>
      </c>
      <c r="M66">
        <v>560.23</v>
      </c>
      <c r="N66">
        <v>1369.48</v>
      </c>
      <c r="O66">
        <v>0.44840000000000002</v>
      </c>
      <c r="P66">
        <v>0.95089999999999997</v>
      </c>
      <c r="Q66">
        <v>2E-3</v>
      </c>
      <c r="R66">
        <v>6.0000000000000001E-3</v>
      </c>
      <c r="S66">
        <v>326.39999999999998</v>
      </c>
      <c r="T66">
        <v>207.2</v>
      </c>
      <c r="U66">
        <v>410.5</v>
      </c>
      <c r="V66">
        <v>1.21</v>
      </c>
      <c r="W66">
        <v>4.7E-2</v>
      </c>
      <c r="X66">
        <v>80</v>
      </c>
      <c r="Y66">
        <v>46.7</v>
      </c>
      <c r="Z66">
        <v>205.46537705371523</v>
      </c>
      <c r="AA66">
        <v>458.17484859561944</v>
      </c>
      <c r="AB66">
        <v>481.83641411197505</v>
      </c>
      <c r="AC66">
        <v>1.4994475479970679</v>
      </c>
      <c r="AD66">
        <v>4.1593999999999998</v>
      </c>
      <c r="AE66">
        <v>9.2751999999999999</v>
      </c>
      <c r="AF66">
        <v>9.7541999999999991</v>
      </c>
      <c r="AG66">
        <v>4.1093075410743047</v>
      </c>
      <c r="AH66">
        <v>9.1634969719123891</v>
      </c>
      <c r="AI66">
        <v>9.6367282822395008</v>
      </c>
      <c r="AJ66">
        <v>2.5</v>
      </c>
      <c r="AK66">
        <v>7.2947323217843835E-2</v>
      </c>
      <c r="AL66">
        <v>5.3252775382512514</v>
      </c>
      <c r="AM66">
        <v>6.1272508767528997</v>
      </c>
      <c r="AN66">
        <v>6.1776046666356645</v>
      </c>
      <c r="AO66">
        <v>0.02</v>
      </c>
      <c r="AP66">
        <v>0.02</v>
      </c>
      <c r="AQ66">
        <v>0.02</v>
      </c>
      <c r="AS66">
        <f t="shared" si="0"/>
        <v>1.0254664005271346</v>
      </c>
      <c r="AT66" s="1">
        <v>9.8442442509999993E-4</v>
      </c>
      <c r="AU66">
        <f t="shared" si="1"/>
        <v>1.5257320360879738</v>
      </c>
      <c r="AV66">
        <f t="shared" si="2"/>
        <v>3.9498815690256421E-2</v>
      </c>
      <c r="BK66">
        <f t="shared" si="10"/>
        <v>1.5036109117337453</v>
      </c>
      <c r="BL66">
        <f t="shared" si="3"/>
        <v>6.171071490909498E-2</v>
      </c>
      <c r="BN66" s="1">
        <f t="shared" si="4"/>
        <v>1.3038392643305533E-3</v>
      </c>
      <c r="BO66">
        <f t="shared" si="5"/>
        <v>3.9477290232558221E-2</v>
      </c>
      <c r="BP66">
        <f t="shared" si="6"/>
        <v>-8.7734487416863589E-7</v>
      </c>
      <c r="BQ66">
        <f t="shared" si="7"/>
        <v>1.3133040229105428E-5</v>
      </c>
      <c r="BR66">
        <f t="shared" si="8"/>
        <v>6.2564633679670287E-3</v>
      </c>
      <c r="BS66">
        <f t="shared" si="9"/>
        <v>6.1392742465786659E-2</v>
      </c>
    </row>
    <row r="67" spans="1:71" x14ac:dyDescent="0.2">
      <c r="A67">
        <v>26093</v>
      </c>
      <c r="B67" t="s">
        <v>50</v>
      </c>
      <c r="C67" t="s">
        <v>116</v>
      </c>
      <c r="D67">
        <v>43.667000000000002</v>
      </c>
      <c r="E67">
        <v>-79.400000000000006</v>
      </c>
      <c r="F67">
        <v>75</v>
      </c>
      <c r="G67">
        <v>1011</v>
      </c>
      <c r="H67">
        <v>48.26</v>
      </c>
      <c r="I67">
        <v>17.5</v>
      </c>
      <c r="J67">
        <v>205.54</v>
      </c>
      <c r="K67">
        <v>457.11</v>
      </c>
      <c r="L67">
        <v>483.01</v>
      </c>
      <c r="M67">
        <v>554.94000000000005</v>
      </c>
      <c r="N67">
        <v>1347.42</v>
      </c>
      <c r="O67">
        <v>0.44969999999999999</v>
      </c>
      <c r="P67">
        <v>0.94640000000000002</v>
      </c>
      <c r="Q67">
        <v>0</v>
      </c>
      <c r="R67">
        <v>1E-3</v>
      </c>
      <c r="S67">
        <v>325.60000000000002</v>
      </c>
      <c r="T67">
        <v>209.9</v>
      </c>
      <c r="U67">
        <v>407.2</v>
      </c>
      <c r="V67">
        <v>1.2</v>
      </c>
      <c r="W67">
        <v>5.8000000000000003E-2</v>
      </c>
      <c r="X67">
        <v>80</v>
      </c>
      <c r="Y67">
        <v>47.6</v>
      </c>
      <c r="Z67">
        <v>203.06464201385117</v>
      </c>
      <c r="AA67">
        <v>451.60493583220546</v>
      </c>
      <c r="AB67">
        <v>477.19301712129146</v>
      </c>
      <c r="AC67">
        <v>1.5003236343817465</v>
      </c>
      <c r="AD67">
        <v>4.1108000000000002</v>
      </c>
      <c r="AE67">
        <v>9.1422000000000008</v>
      </c>
      <c r="AF67">
        <v>9.6601999999999997</v>
      </c>
      <c r="AG67">
        <v>4.0612928402770239</v>
      </c>
      <c r="AH67">
        <v>9.0320987166441089</v>
      </c>
      <c r="AI67">
        <v>9.5438603424258304</v>
      </c>
      <c r="AJ67">
        <v>2.5</v>
      </c>
      <c r="AK67">
        <v>7.3066561492173498E-2</v>
      </c>
      <c r="AL67">
        <v>5.3135243619183496</v>
      </c>
      <c r="AM67">
        <v>6.112807761870795</v>
      </c>
      <c r="AN67">
        <v>6.1679210570934186</v>
      </c>
      <c r="AO67">
        <v>2.0000000000000004E-2</v>
      </c>
      <c r="AP67">
        <v>0.02</v>
      </c>
      <c r="AQ67">
        <v>2.0000000000000004E-2</v>
      </c>
      <c r="AS67">
        <f t="shared" ref="AS67:AS100" si="11">POWER(6371+106.5,2)/POWER(6371+25.56333,2)</f>
        <v>1.0254664005271346</v>
      </c>
      <c r="AT67" s="1">
        <v>9.8442442509999993E-4</v>
      </c>
      <c r="AU67">
        <f t="shared" ref="AU67:AU100" si="12">1/SQRT(1-AS67*POWER(SIN(RADIANS(H67)),2))</f>
        <v>1.5266803180499284</v>
      </c>
      <c r="AV67">
        <f t="shared" ref="AV67:AV100" si="13">SQRT(POWER(BN67,2)+POWER(BO67,2))</f>
        <v>3.9567821475444721E-2</v>
      </c>
      <c r="BK67">
        <f t="shared" ref="BK67:BK100" si="14">($BD$2*AU67+$BE$2*AC67)/($BD$2+$BE$2)</f>
        <v>1.5044984336254552</v>
      </c>
      <c r="BL67">
        <f t="shared" ref="BL67:BL100" si="15">SQRT(POWER(BP67,2)+POWER(BQ67,2)+POWER(BR67,2)+POWER(BS67,2))</f>
        <v>6.1811657379163956E-2</v>
      </c>
      <c r="BN67" s="1">
        <f t="shared" ref="BN67:BN100" si="16">POWER(AU67,3)*SIN(RADIANS(H67))*AT67/2</f>
        <v>1.3068825949487839E-3</v>
      </c>
      <c r="BO67">
        <f t="shared" ref="BO67:BO100" si="17">POWER(AU67,3)*AS67*SIN(RADIANS(H67))*COS(RADIANS(H67))*RADIANS(AJ67)/2</f>
        <v>3.9546233122709482E-2</v>
      </c>
      <c r="BP67">
        <f t="shared" ref="BP67:BP100" si="18">$BF$2*$BE$2*(AU67-AC67)/POWER($BD$2+$BE$2,2)</f>
        <v>-8.7975467646121542E-7</v>
      </c>
      <c r="BQ67">
        <f t="shared" ref="BQ67:BQ100" si="19">$BG$2*$BD$2*(AC67-AU67)/POWER($BD$2+$BE$2,2)</f>
        <v>1.3169112737630228E-5</v>
      </c>
      <c r="BR67">
        <f t="shared" ref="BR67:BR100" si="20">AV67*$BD$2/($BD$2+$BE$2)</f>
        <v>6.2673936239674606E-3</v>
      </c>
      <c r="BS67">
        <f t="shared" ref="BS67:BS100" si="21">AK67*$BE$2/($BD$2+$BE$2)</f>
        <v>6.1493093847373684E-2</v>
      </c>
    </row>
    <row r="68" spans="1:71" x14ac:dyDescent="0.2">
      <c r="A68">
        <v>26093</v>
      </c>
      <c r="B68" t="s">
        <v>50</v>
      </c>
      <c r="C68" t="s">
        <v>117</v>
      </c>
      <c r="D68">
        <v>43.667000000000002</v>
      </c>
      <c r="E68">
        <v>-79.400000000000006</v>
      </c>
      <c r="F68">
        <v>75</v>
      </c>
      <c r="G68">
        <v>1012</v>
      </c>
      <c r="H68">
        <v>48.29</v>
      </c>
      <c r="I68">
        <v>17.5</v>
      </c>
      <c r="J68">
        <v>208.71</v>
      </c>
      <c r="K68">
        <v>463.08</v>
      </c>
      <c r="L68">
        <v>485.95</v>
      </c>
      <c r="M68">
        <v>564.76</v>
      </c>
      <c r="N68">
        <v>1375.29</v>
      </c>
      <c r="O68">
        <v>0.45069999999999999</v>
      </c>
      <c r="P68">
        <v>0.95289999999999997</v>
      </c>
      <c r="Q68">
        <v>1E-3</v>
      </c>
      <c r="R68">
        <v>0</v>
      </c>
      <c r="S68">
        <v>324.7</v>
      </c>
      <c r="T68">
        <v>205.6</v>
      </c>
      <c r="U68">
        <v>408.8</v>
      </c>
      <c r="V68">
        <v>1.21</v>
      </c>
      <c r="W68">
        <v>4.3999999999999997E-2</v>
      </c>
      <c r="X68">
        <v>80</v>
      </c>
      <c r="Y68">
        <v>47.3</v>
      </c>
      <c r="Z68">
        <v>206.19646509054627</v>
      </c>
      <c r="AA68">
        <v>457.50303796718009</v>
      </c>
      <c r="AB68">
        <v>480.09761013248504</v>
      </c>
      <c r="AC68">
        <v>1.5012011531316947</v>
      </c>
      <c r="AD68">
        <v>4.1741999999999999</v>
      </c>
      <c r="AE68">
        <v>9.2615999999999996</v>
      </c>
      <c r="AF68">
        <v>9.7189999999999994</v>
      </c>
      <c r="AG68">
        <v>4.1239293018109251</v>
      </c>
      <c r="AH68">
        <v>9.1500607593436012</v>
      </c>
      <c r="AI68">
        <v>9.6019522026497004</v>
      </c>
      <c r="AJ68">
        <v>2.5</v>
      </c>
      <c r="AK68">
        <v>7.318604802021289E-2</v>
      </c>
      <c r="AL68">
        <v>5.3288294283250819</v>
      </c>
      <c r="AM68">
        <v>6.1257835250589494</v>
      </c>
      <c r="AN68">
        <v>6.1739894376709019</v>
      </c>
      <c r="AO68">
        <v>1.9999999999999997E-2</v>
      </c>
      <c r="AP68">
        <v>1.9999999999999997E-2</v>
      </c>
      <c r="AQ68">
        <v>0.02</v>
      </c>
      <c r="AS68">
        <f t="shared" si="11"/>
        <v>1.0254664005271346</v>
      </c>
      <c r="AT68" s="1">
        <v>9.8442442509999993E-4</v>
      </c>
      <c r="AU68">
        <f t="shared" si="12"/>
        <v>1.5276302565531708</v>
      </c>
      <c r="AV68">
        <f t="shared" si="13"/>
        <v>3.9636986905869233E-2</v>
      </c>
      <c r="BK68">
        <f t="shared" si="14"/>
        <v>1.5053874233910705</v>
      </c>
      <c r="BL68">
        <f t="shared" si="15"/>
        <v>6.1912810275675162E-2</v>
      </c>
      <c r="BN68" s="1">
        <f t="shared" si="16"/>
        <v>1.3099351293362983E-3</v>
      </c>
      <c r="BO68">
        <f t="shared" si="17"/>
        <v>3.9615335426233356E-2</v>
      </c>
      <c r="BP68">
        <f t="shared" si="18"/>
        <v>-8.8217196148200308E-7</v>
      </c>
      <c r="BQ68">
        <f t="shared" si="19"/>
        <v>1.3205297255666309E-5</v>
      </c>
      <c r="BR68">
        <f t="shared" si="20"/>
        <v>6.2783491671709341E-3</v>
      </c>
      <c r="BS68">
        <f t="shared" si="21"/>
        <v>6.159365416021953E-2</v>
      </c>
    </row>
    <row r="69" spans="1:71" x14ac:dyDescent="0.2">
      <c r="A69">
        <v>26093</v>
      </c>
      <c r="B69" t="s">
        <v>50</v>
      </c>
      <c r="C69" t="s">
        <v>118</v>
      </c>
      <c r="D69">
        <v>43.667000000000002</v>
      </c>
      <c r="E69">
        <v>-79.400000000000006</v>
      </c>
      <c r="F69">
        <v>75</v>
      </c>
      <c r="G69">
        <v>1011</v>
      </c>
      <c r="H69">
        <v>48.32</v>
      </c>
      <c r="I69">
        <v>17.399999999999999</v>
      </c>
      <c r="J69">
        <v>207.63</v>
      </c>
      <c r="K69">
        <v>462.3</v>
      </c>
      <c r="L69">
        <v>486.29</v>
      </c>
      <c r="M69">
        <v>561.42999999999995</v>
      </c>
      <c r="N69">
        <v>1372.31</v>
      </c>
      <c r="O69">
        <v>0.4491</v>
      </c>
      <c r="P69">
        <v>0.95069999999999999</v>
      </c>
      <c r="Q69">
        <v>1E-3</v>
      </c>
      <c r="R69">
        <v>3.0000000000000001E-3</v>
      </c>
      <c r="S69">
        <v>325.39999999999998</v>
      </c>
      <c r="T69">
        <v>206.9</v>
      </c>
      <c r="U69">
        <v>409</v>
      </c>
      <c r="V69">
        <v>1.21</v>
      </c>
      <c r="W69">
        <v>4.5999999999999999E-2</v>
      </c>
      <c r="X69">
        <v>80</v>
      </c>
      <c r="Y69">
        <v>46.7</v>
      </c>
      <c r="Z69">
        <v>205.12947173949556</v>
      </c>
      <c r="AA69">
        <v>456.73243165808793</v>
      </c>
      <c r="AB69">
        <v>480.43351544670475</v>
      </c>
      <c r="AC69">
        <v>1.5020801072303498</v>
      </c>
      <c r="AD69">
        <v>4.1525999999999996</v>
      </c>
      <c r="AE69">
        <v>9.2460000000000004</v>
      </c>
      <c r="AF69">
        <v>9.7258000000000013</v>
      </c>
      <c r="AG69">
        <v>4.1025894347899108</v>
      </c>
      <c r="AH69">
        <v>9.1346486331617598</v>
      </c>
      <c r="AI69">
        <v>9.6086703089340961</v>
      </c>
      <c r="AJ69">
        <v>2.5</v>
      </c>
      <c r="AK69">
        <v>7.3305783519299852E-2</v>
      </c>
      <c r="AL69">
        <v>5.3236413492433039</v>
      </c>
      <c r="AM69">
        <v>6.1240977307156017</v>
      </c>
      <c r="AN69">
        <v>6.1746888534815252</v>
      </c>
      <c r="AO69">
        <v>1.9999999999999997E-2</v>
      </c>
      <c r="AP69">
        <v>2.0000000000000004E-2</v>
      </c>
      <c r="AQ69">
        <v>2.0000000000000004E-2</v>
      </c>
      <c r="AS69">
        <f t="shared" si="11"/>
        <v>1.0254664005271346</v>
      </c>
      <c r="AT69" s="1">
        <v>9.8442442509999993E-4</v>
      </c>
      <c r="AU69">
        <f t="shared" si="12"/>
        <v>1.5285818554298456</v>
      </c>
      <c r="AV69">
        <f t="shared" si="13"/>
        <v>3.9706312501534571E-2</v>
      </c>
      <c r="BK69">
        <f t="shared" si="14"/>
        <v>1.5062778841484596</v>
      </c>
      <c r="BL69">
        <f t="shared" si="15"/>
        <v>6.2014174207679733E-2</v>
      </c>
      <c r="BN69" s="1">
        <f t="shared" si="16"/>
        <v>1.3129969031917404E-3</v>
      </c>
      <c r="BO69">
        <f t="shared" si="17"/>
        <v>3.9684597662087109E-2</v>
      </c>
      <c r="BP69">
        <f t="shared" si="18"/>
        <v>-8.8459675755983749E-7</v>
      </c>
      <c r="BQ69">
        <f t="shared" si="19"/>
        <v>1.324159420727015E-5</v>
      </c>
      <c r="BR69">
        <f t="shared" si="20"/>
        <v>6.2893300799442171E-3</v>
      </c>
      <c r="BS69">
        <f t="shared" si="21"/>
        <v>6.1694424008038443E-2</v>
      </c>
    </row>
    <row r="70" spans="1:71" x14ac:dyDescent="0.2">
      <c r="A70">
        <v>26093</v>
      </c>
      <c r="B70" t="s">
        <v>50</v>
      </c>
      <c r="C70" t="s">
        <v>119</v>
      </c>
      <c r="D70">
        <v>43.667000000000002</v>
      </c>
      <c r="E70">
        <v>-79.400000000000006</v>
      </c>
      <c r="F70">
        <v>75</v>
      </c>
      <c r="G70">
        <v>1011</v>
      </c>
      <c r="H70">
        <v>48.36</v>
      </c>
      <c r="I70">
        <v>17.399999999999999</v>
      </c>
      <c r="J70">
        <v>204.39</v>
      </c>
      <c r="K70">
        <v>457.52</v>
      </c>
      <c r="L70">
        <v>481.68</v>
      </c>
      <c r="M70">
        <v>547.98</v>
      </c>
      <c r="N70">
        <v>1350.68</v>
      </c>
      <c r="O70">
        <v>0.44669999999999999</v>
      </c>
      <c r="P70">
        <v>0.94989999999999997</v>
      </c>
      <c r="Q70">
        <v>6.0000000000000001E-3</v>
      </c>
      <c r="R70">
        <v>2E-3</v>
      </c>
      <c r="S70">
        <v>326.39999999999998</v>
      </c>
      <c r="T70">
        <v>207.2</v>
      </c>
      <c r="U70">
        <v>410.6</v>
      </c>
      <c r="V70">
        <v>1.22</v>
      </c>
      <c r="W70">
        <v>5.6000000000000001E-2</v>
      </c>
      <c r="X70">
        <v>80</v>
      </c>
      <c r="Y70">
        <v>46.6</v>
      </c>
      <c r="Z70">
        <v>201.92849168634348</v>
      </c>
      <c r="AA70">
        <v>452.00999812288211</v>
      </c>
      <c r="AB70">
        <v>475.87903456860869</v>
      </c>
      <c r="AC70">
        <v>1.5032542839659173</v>
      </c>
      <c r="AD70">
        <v>4.0877999999999997</v>
      </c>
      <c r="AE70">
        <v>9.1503999999999994</v>
      </c>
      <c r="AF70">
        <v>9.6335999999999995</v>
      </c>
      <c r="AG70">
        <v>4.0385698337268696</v>
      </c>
      <c r="AH70">
        <v>9.0401999624576419</v>
      </c>
      <c r="AI70">
        <v>9.5175806913721726</v>
      </c>
      <c r="AJ70">
        <v>2.5</v>
      </c>
      <c r="AK70">
        <v>7.3465819384332054E-2</v>
      </c>
      <c r="AL70">
        <v>5.3079136331751089</v>
      </c>
      <c r="AM70">
        <v>6.1137042993284831</v>
      </c>
      <c r="AN70">
        <v>6.1651636928776146</v>
      </c>
      <c r="AO70">
        <v>0.02</v>
      </c>
      <c r="AP70">
        <v>0.02</v>
      </c>
      <c r="AQ70">
        <v>1.9999999999999997E-2</v>
      </c>
      <c r="AS70">
        <f t="shared" si="11"/>
        <v>1.0254664005271346</v>
      </c>
      <c r="AT70" s="1">
        <v>9.8442442509999993E-4</v>
      </c>
      <c r="AU70">
        <f t="shared" si="12"/>
        <v>1.52985324338203</v>
      </c>
      <c r="AV70">
        <f t="shared" si="13"/>
        <v>3.9798996677785789E-2</v>
      </c>
      <c r="BK70">
        <f t="shared" si="14"/>
        <v>1.5074674587739407</v>
      </c>
      <c r="BL70">
        <f t="shared" si="15"/>
        <v>6.2149655451199576E-2</v>
      </c>
      <c r="BN70" s="1">
        <f t="shared" si="16"/>
        <v>1.317093702853167E-3</v>
      </c>
      <c r="BO70">
        <f t="shared" si="17"/>
        <v>3.9777196994462909E-2</v>
      </c>
      <c r="BP70">
        <f t="shared" si="18"/>
        <v>-8.878415520681248E-7</v>
      </c>
      <c r="BQ70">
        <f t="shared" si="19"/>
        <v>1.329016577595105E-5</v>
      </c>
      <c r="BR70">
        <f t="shared" si="20"/>
        <v>6.3040109037454471E-3</v>
      </c>
      <c r="BS70">
        <f t="shared" si="21"/>
        <v>6.1829110795898645E-2</v>
      </c>
    </row>
    <row r="71" spans="1:71" x14ac:dyDescent="0.2">
      <c r="A71">
        <v>26093</v>
      </c>
      <c r="B71" t="s">
        <v>50</v>
      </c>
      <c r="C71" t="s">
        <v>120</v>
      </c>
      <c r="D71">
        <v>43.667000000000002</v>
      </c>
      <c r="E71">
        <v>-79.400000000000006</v>
      </c>
      <c r="F71">
        <v>75</v>
      </c>
      <c r="G71">
        <v>1011</v>
      </c>
      <c r="H71">
        <v>48.9</v>
      </c>
      <c r="I71">
        <v>16</v>
      </c>
      <c r="J71">
        <v>197.43</v>
      </c>
      <c r="K71">
        <v>444.57</v>
      </c>
      <c r="L71">
        <v>469.94</v>
      </c>
      <c r="M71">
        <v>552.48</v>
      </c>
      <c r="N71">
        <v>1377.55</v>
      </c>
      <c r="O71">
        <v>0.44409999999999999</v>
      </c>
      <c r="P71">
        <v>0.94599999999999995</v>
      </c>
      <c r="Q71">
        <v>0</v>
      </c>
      <c r="R71">
        <v>0</v>
      </c>
      <c r="S71">
        <v>324</v>
      </c>
      <c r="T71">
        <v>206.5</v>
      </c>
      <c r="U71">
        <v>407</v>
      </c>
      <c r="V71">
        <v>1.23</v>
      </c>
      <c r="W71">
        <v>4.2999999999999997E-2</v>
      </c>
      <c r="X71">
        <v>80</v>
      </c>
      <c r="Y71">
        <v>47.6</v>
      </c>
      <c r="Z71">
        <v>195.05231231290571</v>
      </c>
      <c r="AA71">
        <v>439.21595747833908</v>
      </c>
      <c r="AB71">
        <v>464.28042165996504</v>
      </c>
      <c r="AC71">
        <v>1.519359583788727</v>
      </c>
      <c r="AD71">
        <v>3.9486000000000003</v>
      </c>
      <c r="AE71">
        <v>8.8914000000000009</v>
      </c>
      <c r="AF71">
        <v>9.3987999999999996</v>
      </c>
      <c r="AG71">
        <v>3.9010462462581144</v>
      </c>
      <c r="AH71">
        <v>8.7843191495667821</v>
      </c>
      <c r="AI71">
        <v>9.2856084331993003</v>
      </c>
      <c r="AJ71">
        <v>2.5</v>
      </c>
      <c r="AK71">
        <v>7.5670629341933179E-2</v>
      </c>
      <c r="AL71">
        <v>5.2732677908575596</v>
      </c>
      <c r="AM71">
        <v>6.0849912225916194</v>
      </c>
      <c r="AN71">
        <v>6.1404887267018813</v>
      </c>
      <c r="AO71">
        <v>0.02</v>
      </c>
      <c r="AP71">
        <v>0.02</v>
      </c>
      <c r="AQ71">
        <v>0.02</v>
      </c>
      <c r="AS71">
        <f t="shared" si="11"/>
        <v>1.0254664005271346</v>
      </c>
      <c r="AT71" s="1">
        <v>9.8442442509999993E-4</v>
      </c>
      <c r="AU71">
        <f t="shared" si="12"/>
        <v>1.5473112445144663</v>
      </c>
      <c r="AV71">
        <f t="shared" si="13"/>
        <v>4.1078832495284927E-2</v>
      </c>
      <c r="BK71">
        <f t="shared" si="14"/>
        <v>1.5237870213801679</v>
      </c>
      <c r="BL71">
        <f t="shared" si="15"/>
        <v>6.4016225589765469E-2</v>
      </c>
      <c r="BN71" s="1">
        <f t="shared" si="16"/>
        <v>1.374058497999438E-3</v>
      </c>
      <c r="BO71">
        <f t="shared" si="17"/>
        <v>4.1055845411095269E-2</v>
      </c>
      <c r="BP71">
        <f t="shared" si="18"/>
        <v>-9.3299310899316624E-7</v>
      </c>
      <c r="BQ71">
        <f t="shared" si="19"/>
        <v>1.3966042766815347E-5</v>
      </c>
      <c r="BR71">
        <f t="shared" si="20"/>
        <v>6.506732068146605E-3</v>
      </c>
      <c r="BS71">
        <f t="shared" si="21"/>
        <v>6.3684687175429147E-2</v>
      </c>
    </row>
    <row r="72" spans="1:71" x14ac:dyDescent="0.2">
      <c r="A72">
        <v>26093</v>
      </c>
      <c r="B72" t="s">
        <v>50</v>
      </c>
      <c r="C72" t="s">
        <v>121</v>
      </c>
      <c r="D72">
        <v>43.667000000000002</v>
      </c>
      <c r="E72">
        <v>-79.400000000000006</v>
      </c>
      <c r="F72">
        <v>75</v>
      </c>
      <c r="G72">
        <v>1011</v>
      </c>
      <c r="H72">
        <v>48.93</v>
      </c>
      <c r="I72">
        <v>16</v>
      </c>
      <c r="J72">
        <v>189.07</v>
      </c>
      <c r="K72">
        <v>429.12</v>
      </c>
      <c r="L72">
        <v>459.11</v>
      </c>
      <c r="M72">
        <v>532.39</v>
      </c>
      <c r="N72">
        <v>1341.06</v>
      </c>
      <c r="O72">
        <v>0.44059999999999999</v>
      </c>
      <c r="P72">
        <v>0.93469999999999998</v>
      </c>
      <c r="Q72">
        <v>2E-3</v>
      </c>
      <c r="R72">
        <v>2E-3</v>
      </c>
      <c r="S72">
        <v>325.7</v>
      </c>
      <c r="T72">
        <v>213.3</v>
      </c>
      <c r="U72">
        <v>405.1</v>
      </c>
      <c r="V72">
        <v>1.24</v>
      </c>
      <c r="W72">
        <v>0.06</v>
      </c>
      <c r="X72">
        <v>80</v>
      </c>
      <c r="Y72">
        <v>47.5</v>
      </c>
      <c r="Z72">
        <v>186.79299341032811</v>
      </c>
      <c r="AA72">
        <v>423.95202481747503</v>
      </c>
      <c r="AB72">
        <v>453.58084944526229</v>
      </c>
      <c r="AC72">
        <v>1.5202683845525577</v>
      </c>
      <c r="AD72">
        <v>3.7814000000000001</v>
      </c>
      <c r="AE72">
        <v>8.5823999999999998</v>
      </c>
      <c r="AF72">
        <v>9.1821999999999999</v>
      </c>
      <c r="AG72">
        <v>3.7358598682065622</v>
      </c>
      <c r="AH72">
        <v>8.4790404963494996</v>
      </c>
      <c r="AI72">
        <v>9.0716169889052463</v>
      </c>
      <c r="AJ72">
        <v>2.5</v>
      </c>
      <c r="AK72">
        <v>7.5795587039772086E-2</v>
      </c>
      <c r="AL72">
        <v>5.2300010165812596</v>
      </c>
      <c r="AM72">
        <v>6.0496202998147357</v>
      </c>
      <c r="AN72">
        <v>6.1171735324862757</v>
      </c>
      <c r="AO72">
        <v>0.02</v>
      </c>
      <c r="AP72">
        <v>1.9999999999999997E-2</v>
      </c>
      <c r="AQ72">
        <v>0.02</v>
      </c>
      <c r="AS72">
        <f t="shared" si="11"/>
        <v>1.0254664005271346</v>
      </c>
      <c r="AT72" s="1">
        <v>9.8442442509999993E-4</v>
      </c>
      <c r="AU72">
        <f t="shared" si="12"/>
        <v>1.5482974560250611</v>
      </c>
      <c r="AV72">
        <f t="shared" si="13"/>
        <v>4.1151531095412495E-2</v>
      </c>
      <c r="BK72">
        <f t="shared" si="14"/>
        <v>1.5247080837141989</v>
      </c>
      <c r="BL72">
        <f t="shared" si="15"/>
        <v>6.4122016252016481E-2</v>
      </c>
      <c r="BN72" s="1">
        <f t="shared" si="16"/>
        <v>1.3773161615999831E-3</v>
      </c>
      <c r="BO72">
        <f t="shared" si="17"/>
        <v>4.112847567911674E-2</v>
      </c>
      <c r="BP72">
        <f t="shared" si="18"/>
        <v>-9.3557698742534675E-7</v>
      </c>
      <c r="BQ72">
        <f t="shared" si="19"/>
        <v>1.4004721033932481E-5</v>
      </c>
      <c r="BR72">
        <f t="shared" si="20"/>
        <v>6.5182472520996472E-3</v>
      </c>
      <c r="BS72">
        <f t="shared" si="21"/>
        <v>6.3789852045422132E-2</v>
      </c>
    </row>
    <row r="73" spans="1:71" x14ac:dyDescent="0.2">
      <c r="A73">
        <v>26093</v>
      </c>
      <c r="B73" t="s">
        <v>50</v>
      </c>
      <c r="C73" t="s">
        <v>122</v>
      </c>
      <c r="D73">
        <v>43.667000000000002</v>
      </c>
      <c r="E73">
        <v>-79.400000000000006</v>
      </c>
      <c r="F73">
        <v>75</v>
      </c>
      <c r="G73">
        <v>1011</v>
      </c>
      <c r="H73">
        <v>48.97</v>
      </c>
      <c r="I73">
        <v>16</v>
      </c>
      <c r="J73">
        <v>190.94</v>
      </c>
      <c r="K73">
        <v>431.98</v>
      </c>
      <c r="L73">
        <v>457.96</v>
      </c>
      <c r="M73">
        <v>540.64</v>
      </c>
      <c r="N73">
        <v>1354.14</v>
      </c>
      <c r="O73">
        <v>0.442</v>
      </c>
      <c r="P73">
        <v>0.94330000000000003</v>
      </c>
      <c r="Q73">
        <v>2E-3</v>
      </c>
      <c r="R73">
        <v>1E-3</v>
      </c>
      <c r="S73">
        <v>324.7</v>
      </c>
      <c r="T73">
        <v>207.8</v>
      </c>
      <c r="U73">
        <v>407.2</v>
      </c>
      <c r="V73">
        <v>1.24</v>
      </c>
      <c r="W73">
        <v>5.3999999999999999E-2</v>
      </c>
      <c r="X73">
        <v>80</v>
      </c>
      <c r="Y73">
        <v>47.8</v>
      </c>
      <c r="Z73">
        <v>188.64047263853627</v>
      </c>
      <c r="AA73">
        <v>426.77758128414632</v>
      </c>
      <c r="AB73">
        <v>452.44469911775457</v>
      </c>
      <c r="AC73">
        <v>1.5214824544992178</v>
      </c>
      <c r="AD73">
        <v>3.8188</v>
      </c>
      <c r="AE73">
        <v>8.6395999999999997</v>
      </c>
      <c r="AF73">
        <v>9.1592000000000002</v>
      </c>
      <c r="AG73">
        <v>3.772809452770725</v>
      </c>
      <c r="AH73">
        <v>8.5355516256829258</v>
      </c>
      <c r="AI73">
        <v>9.0488939823550929</v>
      </c>
      <c r="AJ73">
        <v>2.5</v>
      </c>
      <c r="AK73">
        <v>7.5962609504280423E-2</v>
      </c>
      <c r="AL73">
        <v>5.2398429422913093</v>
      </c>
      <c r="AM73">
        <v>6.0562629905975296</v>
      </c>
      <c r="AN73">
        <v>6.1146655437770336</v>
      </c>
      <c r="AO73">
        <v>1.9999999999999997E-2</v>
      </c>
      <c r="AP73">
        <v>1.9999999999999997E-2</v>
      </c>
      <c r="AQ73">
        <v>2.0000000000000004E-2</v>
      </c>
      <c r="AS73">
        <f t="shared" si="11"/>
        <v>1.0254664005271346</v>
      </c>
      <c r="AT73" s="1">
        <v>9.8442442509999993E-4</v>
      </c>
      <c r="AU73">
        <f t="shared" si="12"/>
        <v>1.5496151201482529</v>
      </c>
      <c r="AV73">
        <f t="shared" si="13"/>
        <v>4.1248729880899518E-2</v>
      </c>
      <c r="BK73">
        <f t="shared" si="14"/>
        <v>1.5259385625875388</v>
      </c>
      <c r="BL73">
        <f t="shared" si="15"/>
        <v>6.4263419899580496E-2</v>
      </c>
      <c r="BN73" s="1">
        <f t="shared" si="16"/>
        <v>1.3816753415797323E-3</v>
      </c>
      <c r="BO73">
        <f t="shared" si="17"/>
        <v>4.1225582955707045E-2</v>
      </c>
      <c r="BP73">
        <f t="shared" si="18"/>
        <v>-9.3903483752535586E-7</v>
      </c>
      <c r="BQ73">
        <f t="shared" si="19"/>
        <v>1.4056481847503846E-5</v>
      </c>
      <c r="BR73">
        <f t="shared" si="20"/>
        <v>6.5336431729692557E-3</v>
      </c>
      <c r="BS73">
        <f t="shared" si="21"/>
        <v>6.3930418781763365E-2</v>
      </c>
    </row>
    <row r="74" spans="1:71" x14ac:dyDescent="0.2">
      <c r="A74">
        <v>26093</v>
      </c>
      <c r="B74" t="s">
        <v>50</v>
      </c>
      <c r="C74" t="s">
        <v>123</v>
      </c>
      <c r="D74">
        <v>43.667000000000002</v>
      </c>
      <c r="E74">
        <v>-79.400000000000006</v>
      </c>
      <c r="F74">
        <v>75</v>
      </c>
      <c r="G74">
        <v>1011</v>
      </c>
      <c r="H74">
        <v>49</v>
      </c>
      <c r="I74">
        <v>15.9</v>
      </c>
      <c r="J74">
        <v>186.88</v>
      </c>
      <c r="K74">
        <v>427.43</v>
      </c>
      <c r="L74">
        <v>453.39</v>
      </c>
      <c r="M74">
        <v>537.67999999999995</v>
      </c>
      <c r="N74">
        <v>1346.09</v>
      </c>
      <c r="O74">
        <v>0.43719999999999998</v>
      </c>
      <c r="P74">
        <v>0.94269999999999998</v>
      </c>
      <c r="Q74">
        <v>1.4E-2</v>
      </c>
      <c r="R74">
        <v>0</v>
      </c>
      <c r="S74">
        <v>327</v>
      </c>
      <c r="T74">
        <v>207.9</v>
      </c>
      <c r="U74">
        <v>411.1</v>
      </c>
      <c r="V74">
        <v>1.23</v>
      </c>
      <c r="W74">
        <v>5.8000000000000003E-2</v>
      </c>
      <c r="X74">
        <v>80</v>
      </c>
      <c r="Y74">
        <v>47.9</v>
      </c>
      <c r="Z74">
        <v>184.62936800403088</v>
      </c>
      <c r="AA74">
        <v>422.28237781444199</v>
      </c>
      <c r="AB74">
        <v>447.92973651191971</v>
      </c>
      <c r="AC74">
        <v>1.5223947627842307</v>
      </c>
      <c r="AD74">
        <v>3.7376</v>
      </c>
      <c r="AE74">
        <v>8.5486000000000004</v>
      </c>
      <c r="AF74">
        <v>9.0678000000000001</v>
      </c>
      <c r="AG74">
        <v>3.6925873600806174</v>
      </c>
      <c r="AH74">
        <v>8.44564755628884</v>
      </c>
      <c r="AI74">
        <v>8.9585947302383939</v>
      </c>
      <c r="AJ74">
        <v>2.5</v>
      </c>
      <c r="AK74">
        <v>7.608818651101909E-2</v>
      </c>
      <c r="AL74">
        <v>5.2183503993612845</v>
      </c>
      <c r="AM74">
        <v>6.0456742320008807</v>
      </c>
      <c r="AN74">
        <v>6.1046363819715612</v>
      </c>
      <c r="AO74">
        <v>0.02</v>
      </c>
      <c r="AP74">
        <v>0.02</v>
      </c>
      <c r="AQ74">
        <v>0.02</v>
      </c>
      <c r="AS74">
        <f t="shared" si="11"/>
        <v>1.0254664005271346</v>
      </c>
      <c r="AT74" s="1">
        <v>9.8442442509999993E-4</v>
      </c>
      <c r="AU74">
        <f t="shared" si="12"/>
        <v>1.5506054101706654</v>
      </c>
      <c r="AV74">
        <f t="shared" si="13"/>
        <v>4.132183019876505E-2</v>
      </c>
      <c r="BK74">
        <f t="shared" si="14"/>
        <v>1.5268632228855143</v>
      </c>
      <c r="BL74">
        <f t="shared" si="15"/>
        <v>6.436973556452126E-2</v>
      </c>
      <c r="BN74" s="1">
        <f t="shared" si="16"/>
        <v>1.3849564994156353E-3</v>
      </c>
      <c r="BO74">
        <f t="shared" si="17"/>
        <v>4.1298614340802009E-2</v>
      </c>
      <c r="BP74">
        <f t="shared" si="18"/>
        <v>-9.4163777494417749E-7</v>
      </c>
      <c r="BQ74">
        <f t="shared" si="19"/>
        <v>1.4095445409999864E-5</v>
      </c>
      <c r="BR74">
        <f t="shared" si="20"/>
        <v>6.5452219874962258E-3</v>
      </c>
      <c r="BS74">
        <f t="shared" si="21"/>
        <v>6.4036104864463178E-2</v>
      </c>
    </row>
    <row r="75" spans="1:71" x14ac:dyDescent="0.2">
      <c r="A75">
        <v>26093</v>
      </c>
      <c r="B75" t="s">
        <v>50</v>
      </c>
      <c r="C75" t="s">
        <v>124</v>
      </c>
      <c r="D75">
        <v>43.667000000000002</v>
      </c>
      <c r="E75">
        <v>-79.400000000000006</v>
      </c>
      <c r="F75">
        <v>75</v>
      </c>
      <c r="G75">
        <v>1011</v>
      </c>
      <c r="H75">
        <v>49.04</v>
      </c>
      <c r="I75">
        <v>15.9</v>
      </c>
      <c r="J75">
        <v>192.05</v>
      </c>
      <c r="K75">
        <v>434.7</v>
      </c>
      <c r="L75">
        <v>456.61</v>
      </c>
      <c r="M75">
        <v>549.14</v>
      </c>
      <c r="N75">
        <v>1365.28</v>
      </c>
      <c r="O75">
        <v>0.44180000000000003</v>
      </c>
      <c r="P75">
        <v>0.95199999999999996</v>
      </c>
      <c r="Q75">
        <v>1E-3</v>
      </c>
      <c r="R75">
        <v>1E-3</v>
      </c>
      <c r="S75">
        <v>324.2</v>
      </c>
      <c r="T75">
        <v>202</v>
      </c>
      <c r="U75">
        <v>410.5</v>
      </c>
      <c r="V75">
        <v>1.22</v>
      </c>
      <c r="W75">
        <v>4.8000000000000001E-2</v>
      </c>
      <c r="X75">
        <v>80</v>
      </c>
      <c r="Y75">
        <v>47.7</v>
      </c>
      <c r="Z75">
        <v>189.73710469378281</v>
      </c>
      <c r="AA75">
        <v>429.46482379790359</v>
      </c>
      <c r="AB75">
        <v>451.11095742894128</v>
      </c>
      <c r="AC75">
        <v>1.5236135210073298</v>
      </c>
      <c r="AD75">
        <v>3.8410000000000002</v>
      </c>
      <c r="AE75">
        <v>8.6940000000000008</v>
      </c>
      <c r="AF75">
        <v>9.132200000000001</v>
      </c>
      <c r="AG75">
        <v>3.7947420938756564</v>
      </c>
      <c r="AH75">
        <v>8.5892964759580721</v>
      </c>
      <c r="AI75">
        <v>9.0222191485788255</v>
      </c>
      <c r="AJ75">
        <v>2.5</v>
      </c>
      <c r="AK75">
        <v>7.625603754884451E-2</v>
      </c>
      <c r="AL75">
        <v>5.245639454513336</v>
      </c>
      <c r="AM75">
        <v>6.0625398377161686</v>
      </c>
      <c r="AN75">
        <v>6.1117133345847403</v>
      </c>
      <c r="AO75">
        <v>0.02</v>
      </c>
      <c r="AP75">
        <v>0.02</v>
      </c>
      <c r="AQ75">
        <v>0.02</v>
      </c>
      <c r="AS75">
        <f t="shared" si="11"/>
        <v>1.0254664005271346</v>
      </c>
      <c r="AT75" s="1">
        <v>9.8442442509999993E-4</v>
      </c>
      <c r="AU75">
        <f t="shared" si="12"/>
        <v>1.5519285273150225</v>
      </c>
      <c r="AV75">
        <f t="shared" si="13"/>
        <v>4.1419566684539236E-2</v>
      </c>
      <c r="BK75">
        <f t="shared" si="14"/>
        <v>1.5280985111679724</v>
      </c>
      <c r="BL75">
        <f t="shared" si="15"/>
        <v>6.4511841617347937E-2</v>
      </c>
      <c r="BN75" s="1">
        <f t="shared" si="16"/>
        <v>1.389347149571176E-3</v>
      </c>
      <c r="BO75">
        <f t="shared" si="17"/>
        <v>4.1396258512490847E-2</v>
      </c>
      <c r="BP75">
        <f t="shared" si="18"/>
        <v>-9.4512115131136225E-7</v>
      </c>
      <c r="BQ75">
        <f t="shared" si="19"/>
        <v>1.4147588328150156E-5</v>
      </c>
      <c r="BR75">
        <f t="shared" si="20"/>
        <v>6.5607030780624647E-3</v>
      </c>
      <c r="BS75">
        <f t="shared" si="21"/>
        <v>6.4177368931234449E-2</v>
      </c>
    </row>
    <row r="76" spans="1:71" x14ac:dyDescent="0.2">
      <c r="A76">
        <v>26093</v>
      </c>
      <c r="B76" t="s">
        <v>50</v>
      </c>
      <c r="C76" t="s">
        <v>125</v>
      </c>
      <c r="D76">
        <v>43.667000000000002</v>
      </c>
      <c r="E76">
        <v>-79.400000000000006</v>
      </c>
      <c r="F76">
        <v>75</v>
      </c>
      <c r="G76">
        <v>1011</v>
      </c>
      <c r="H76">
        <v>49.1</v>
      </c>
      <c r="I76">
        <v>15.9</v>
      </c>
      <c r="J76">
        <v>192.29</v>
      </c>
      <c r="K76">
        <v>434.42</v>
      </c>
      <c r="L76">
        <v>461.89</v>
      </c>
      <c r="M76">
        <v>545.47</v>
      </c>
      <c r="N76">
        <v>1376.64</v>
      </c>
      <c r="O76">
        <v>0.44259999999999999</v>
      </c>
      <c r="P76">
        <v>0.9405</v>
      </c>
      <c r="Q76">
        <v>2E-3</v>
      </c>
      <c r="R76">
        <v>2E-3</v>
      </c>
      <c r="S76">
        <v>323.39999999999998</v>
      </c>
      <c r="T76">
        <v>208.7</v>
      </c>
      <c r="U76">
        <v>404.4</v>
      </c>
      <c r="V76">
        <v>1.25</v>
      </c>
      <c r="W76">
        <v>4.2999999999999997E-2</v>
      </c>
      <c r="X76">
        <v>80</v>
      </c>
      <c r="Y76">
        <v>48.1</v>
      </c>
      <c r="Z76">
        <v>189.97421432734961</v>
      </c>
      <c r="AA76">
        <v>429.18819589207567</v>
      </c>
      <c r="AB76">
        <v>456.32736936741128</v>
      </c>
      <c r="AC76">
        <v>1.5254467034580743</v>
      </c>
      <c r="AD76">
        <v>3.8458000000000001</v>
      </c>
      <c r="AE76">
        <v>8.6883999999999997</v>
      </c>
      <c r="AF76">
        <v>9.2378</v>
      </c>
      <c r="AG76">
        <v>3.7994842865469924</v>
      </c>
      <c r="AH76">
        <v>8.5837639178415124</v>
      </c>
      <c r="AI76">
        <v>9.126547387348225</v>
      </c>
      <c r="AJ76">
        <v>2.5</v>
      </c>
      <c r="AK76">
        <v>7.6508707231486589E-2</v>
      </c>
      <c r="AL76">
        <v>5.2468883488839175</v>
      </c>
      <c r="AM76">
        <v>6.0618955077969696</v>
      </c>
      <c r="AN76">
        <v>6.1232104672158947</v>
      </c>
      <c r="AO76">
        <v>0.02</v>
      </c>
      <c r="AP76">
        <v>1.9999999999999997E-2</v>
      </c>
      <c r="AQ76">
        <v>0.02</v>
      </c>
      <c r="AS76">
        <f t="shared" si="11"/>
        <v>1.0254664005271346</v>
      </c>
      <c r="AT76" s="1">
        <v>9.8442442509999993E-4</v>
      </c>
      <c r="AU76">
        <f t="shared" si="12"/>
        <v>1.5539190740269122</v>
      </c>
      <c r="AV76">
        <f t="shared" si="13"/>
        <v>4.1566751466343713E-2</v>
      </c>
      <c r="BK76">
        <f t="shared" si="14"/>
        <v>1.5299566195239138</v>
      </c>
      <c r="BL76">
        <f t="shared" si="15"/>
        <v>6.4725757832959627E-2</v>
      </c>
      <c r="BN76" s="1">
        <f t="shared" si="16"/>
        <v>1.3959671177141604E-3</v>
      </c>
      <c r="BO76">
        <f t="shared" si="17"/>
        <v>4.1543303952274284E-2</v>
      </c>
      <c r="BP76">
        <f t="shared" si="18"/>
        <v>-9.5037378272710792E-7</v>
      </c>
      <c r="BQ76">
        <f t="shared" si="19"/>
        <v>1.4226215355813612E-5</v>
      </c>
      <c r="BR76">
        <f t="shared" si="20"/>
        <v>6.5840165921410418E-3</v>
      </c>
      <c r="BS76">
        <f t="shared" si="21"/>
        <v>6.4390016689522073E-2</v>
      </c>
    </row>
    <row r="77" spans="1:71" x14ac:dyDescent="0.2">
      <c r="A77">
        <v>26093</v>
      </c>
      <c r="B77" t="s">
        <v>50</v>
      </c>
      <c r="C77" t="s">
        <v>126</v>
      </c>
      <c r="D77">
        <v>43.667000000000002</v>
      </c>
      <c r="E77">
        <v>-79.400000000000006</v>
      </c>
      <c r="F77">
        <v>75</v>
      </c>
      <c r="G77">
        <v>1011</v>
      </c>
      <c r="H77">
        <v>49.13</v>
      </c>
      <c r="I77">
        <v>16</v>
      </c>
      <c r="J77">
        <v>192.58</v>
      </c>
      <c r="K77">
        <v>436.59</v>
      </c>
      <c r="L77">
        <v>465.45</v>
      </c>
      <c r="M77">
        <v>540.30999999999995</v>
      </c>
      <c r="N77">
        <v>1369.39</v>
      </c>
      <c r="O77">
        <v>0.44109999999999999</v>
      </c>
      <c r="P77">
        <v>0.93799999999999994</v>
      </c>
      <c r="Q77">
        <v>0</v>
      </c>
      <c r="R77">
        <v>1E-3</v>
      </c>
      <c r="S77">
        <v>324</v>
      </c>
      <c r="T77">
        <v>210</v>
      </c>
      <c r="U77">
        <v>404.4</v>
      </c>
      <c r="V77">
        <v>1.26</v>
      </c>
      <c r="W77">
        <v>4.5999999999999999E-2</v>
      </c>
      <c r="X77">
        <v>80</v>
      </c>
      <c r="Y77">
        <v>48.1</v>
      </c>
      <c r="Z77">
        <v>190.26072180124288</v>
      </c>
      <c r="AA77">
        <v>431.33206216224227</v>
      </c>
      <c r="AB77">
        <v>459.84449559865243</v>
      </c>
      <c r="AC77">
        <v>1.5263655719665203</v>
      </c>
      <c r="AD77">
        <v>3.8516000000000004</v>
      </c>
      <c r="AE77">
        <v>8.7317999999999998</v>
      </c>
      <c r="AF77">
        <v>9.3089999999999993</v>
      </c>
      <c r="AG77">
        <v>3.8052144360248574</v>
      </c>
      <c r="AH77">
        <v>8.6266412432448458</v>
      </c>
      <c r="AI77">
        <v>9.1968899119730487</v>
      </c>
      <c r="AJ77">
        <v>2.5</v>
      </c>
      <c r="AK77">
        <v>7.6635445687954704E-2</v>
      </c>
      <c r="AL77">
        <v>5.24839535153356</v>
      </c>
      <c r="AM77">
        <v>6.0668782393147662</v>
      </c>
      <c r="AN77">
        <v>6.1308883792839213</v>
      </c>
      <c r="AO77">
        <v>0.02</v>
      </c>
      <c r="AP77">
        <v>0.02</v>
      </c>
      <c r="AQ77">
        <v>0.02</v>
      </c>
      <c r="AS77">
        <f t="shared" si="11"/>
        <v>1.0254664005271346</v>
      </c>
      <c r="AT77" s="1">
        <v>9.8442442509999993E-4</v>
      </c>
      <c r="AU77">
        <f t="shared" si="12"/>
        <v>1.5549169983868905</v>
      </c>
      <c r="AV77">
        <f t="shared" si="13"/>
        <v>4.1640606138047563E-2</v>
      </c>
      <c r="BK77">
        <f t="shared" si="14"/>
        <v>1.5308880101809479</v>
      </c>
      <c r="BL77">
        <f t="shared" si="15"/>
        <v>6.4833058103049512E-2</v>
      </c>
      <c r="BN77" s="1">
        <f t="shared" si="16"/>
        <v>1.3992924862435889E-3</v>
      </c>
      <c r="BO77">
        <f t="shared" si="17"/>
        <v>4.1617088558450921E-2</v>
      </c>
      <c r="BP77">
        <f t="shared" si="18"/>
        <v>-9.5301257279503518E-7</v>
      </c>
      <c r="BQ77">
        <f t="shared" si="19"/>
        <v>1.4265715599262453E-5</v>
      </c>
      <c r="BR77">
        <f t="shared" si="20"/>
        <v>6.5957148934696654E-3</v>
      </c>
      <c r="BS77">
        <f t="shared" si="21"/>
        <v>6.4496680252696587E-2</v>
      </c>
    </row>
    <row r="78" spans="1:71" x14ac:dyDescent="0.2">
      <c r="A78">
        <v>26093</v>
      </c>
      <c r="B78" t="s">
        <v>50</v>
      </c>
      <c r="C78" t="s">
        <v>127</v>
      </c>
      <c r="D78">
        <v>43.667000000000002</v>
      </c>
      <c r="E78">
        <v>-79.400000000000006</v>
      </c>
      <c r="F78">
        <v>75</v>
      </c>
      <c r="G78">
        <v>1012</v>
      </c>
      <c r="H78">
        <v>49.18</v>
      </c>
      <c r="I78">
        <v>16</v>
      </c>
      <c r="J78">
        <v>184.69</v>
      </c>
      <c r="K78">
        <v>420.95</v>
      </c>
      <c r="L78">
        <v>452.23</v>
      </c>
      <c r="M78">
        <v>529.49</v>
      </c>
      <c r="N78">
        <v>1348.86</v>
      </c>
      <c r="O78">
        <v>0.43869999999999998</v>
      </c>
      <c r="P78">
        <v>0.93079999999999996</v>
      </c>
      <c r="Q78">
        <v>1E-3</v>
      </c>
      <c r="R78">
        <v>1E-3</v>
      </c>
      <c r="S78">
        <v>324.89999999999998</v>
      </c>
      <c r="T78">
        <v>214.1</v>
      </c>
      <c r="U78">
        <v>403.2</v>
      </c>
      <c r="V78">
        <v>1.26</v>
      </c>
      <c r="W78">
        <v>5.6000000000000001E-2</v>
      </c>
      <c r="X78">
        <v>80</v>
      </c>
      <c r="Y78">
        <v>47.8</v>
      </c>
      <c r="Z78">
        <v>182.46574259773365</v>
      </c>
      <c r="AA78">
        <v>415.88041770813783</v>
      </c>
      <c r="AB78">
        <v>446.78370661634676</v>
      </c>
      <c r="AC78">
        <v>1.5279004044200069</v>
      </c>
      <c r="AD78">
        <v>3.6938</v>
      </c>
      <c r="AE78">
        <v>8.4190000000000005</v>
      </c>
      <c r="AF78">
        <v>9.0446000000000009</v>
      </c>
      <c r="AG78">
        <v>3.649314851954673</v>
      </c>
      <c r="AH78">
        <v>8.3176083541627577</v>
      </c>
      <c r="AI78">
        <v>8.9356741323269357</v>
      </c>
      <c r="AJ78">
        <v>2.5</v>
      </c>
      <c r="AK78">
        <v>7.6847277137732747E-2</v>
      </c>
      <c r="AL78">
        <v>5.2065624436092426</v>
      </c>
      <c r="AM78">
        <v>6.0303977615050952</v>
      </c>
      <c r="AN78">
        <v>6.1020745996911412</v>
      </c>
      <c r="AO78">
        <v>0.02</v>
      </c>
      <c r="AP78">
        <v>2.0000000000000004E-2</v>
      </c>
      <c r="AQ78">
        <v>0.02</v>
      </c>
      <c r="AS78">
        <f t="shared" si="11"/>
        <v>1.0254664005271346</v>
      </c>
      <c r="AT78" s="1">
        <v>9.8442442509999993E-4</v>
      </c>
      <c r="AU78">
        <f t="shared" si="12"/>
        <v>1.5565841475876869</v>
      </c>
      <c r="AV78">
        <f t="shared" si="13"/>
        <v>4.1764087839647593E-2</v>
      </c>
      <c r="BK78">
        <f t="shared" si="14"/>
        <v>1.5324438011079495</v>
      </c>
      <c r="BL78">
        <f t="shared" si="15"/>
        <v>6.5012401121103638E-2</v>
      </c>
      <c r="BN78" s="1">
        <f t="shared" si="16"/>
        <v>1.4048576997619919E-3</v>
      </c>
      <c r="BO78">
        <f t="shared" si="17"/>
        <v>4.1740452895497188E-2</v>
      </c>
      <c r="BP78">
        <f t="shared" si="18"/>
        <v>-9.5742914806245407E-7</v>
      </c>
      <c r="BQ78">
        <f t="shared" si="19"/>
        <v>1.4331827640683847E-5</v>
      </c>
      <c r="BR78">
        <f t="shared" si="20"/>
        <v>6.6152739290805829E-3</v>
      </c>
      <c r="BS78">
        <f t="shared" si="21"/>
        <v>6.4674958400114571E-2</v>
      </c>
    </row>
    <row r="79" spans="1:71" x14ac:dyDescent="0.2">
      <c r="A79">
        <v>26093</v>
      </c>
      <c r="B79" t="s">
        <v>50</v>
      </c>
      <c r="C79" t="s">
        <v>128</v>
      </c>
      <c r="D79">
        <v>43.667000000000002</v>
      </c>
      <c r="E79">
        <v>-79.400000000000006</v>
      </c>
      <c r="F79">
        <v>75</v>
      </c>
      <c r="G79">
        <v>1011</v>
      </c>
      <c r="H79">
        <v>49.35</v>
      </c>
      <c r="I79">
        <v>16.100000000000001</v>
      </c>
      <c r="J79">
        <v>190.2</v>
      </c>
      <c r="K79">
        <v>430.95</v>
      </c>
      <c r="L79">
        <v>454.84</v>
      </c>
      <c r="M79">
        <v>547.70000000000005</v>
      </c>
      <c r="N79">
        <v>1381.42</v>
      </c>
      <c r="O79">
        <v>0.44130000000000003</v>
      </c>
      <c r="P79">
        <v>0.94750000000000001</v>
      </c>
      <c r="Q79">
        <v>3.0000000000000001E-3</v>
      </c>
      <c r="R79">
        <v>0</v>
      </c>
      <c r="S79">
        <v>322.3</v>
      </c>
      <c r="T79">
        <v>203.1</v>
      </c>
      <c r="U79">
        <v>406.5</v>
      </c>
      <c r="V79">
        <v>1.25</v>
      </c>
      <c r="W79">
        <v>0.04</v>
      </c>
      <c r="X79">
        <v>80</v>
      </c>
      <c r="Y79">
        <v>48.7</v>
      </c>
      <c r="Z79">
        <v>187.90938460170523</v>
      </c>
      <c r="AA79">
        <v>425.75998577342199</v>
      </c>
      <c r="AB79">
        <v>449.36227388138593</v>
      </c>
      <c r="AC79">
        <v>1.5331506721502064</v>
      </c>
      <c r="AD79">
        <v>3.8039999999999998</v>
      </c>
      <c r="AE79">
        <v>8.6189999999999998</v>
      </c>
      <c r="AF79">
        <v>9.0968</v>
      </c>
      <c r="AG79">
        <v>3.7581876920341042</v>
      </c>
      <c r="AH79">
        <v>8.5151997154684409</v>
      </c>
      <c r="AI79">
        <v>8.9872454776277184</v>
      </c>
      <c r="AJ79">
        <v>2.5</v>
      </c>
      <c r="AK79">
        <v>7.757316669882959E-2</v>
      </c>
      <c r="AL79">
        <v>5.235959849832712</v>
      </c>
      <c r="AM79">
        <v>6.0538757738148306</v>
      </c>
      <c r="AN79">
        <v>6.1078294084779445</v>
      </c>
      <c r="AO79">
        <v>1.9999999999999997E-2</v>
      </c>
      <c r="AP79">
        <v>2.0000000000000004E-2</v>
      </c>
      <c r="AQ79">
        <v>0.02</v>
      </c>
      <c r="AS79">
        <f t="shared" si="11"/>
        <v>1.0254664005271346</v>
      </c>
      <c r="AT79" s="1">
        <v>9.8442442509999993E-4</v>
      </c>
      <c r="AU79">
        <f t="shared" si="12"/>
        <v>1.5622895564985819</v>
      </c>
      <c r="AV79">
        <f t="shared" si="13"/>
        <v>4.2187611628331831E-2</v>
      </c>
      <c r="BK79">
        <f t="shared" si="14"/>
        <v>1.5377661614838274</v>
      </c>
      <c r="BL79">
        <f t="shared" si="15"/>
        <v>6.5626967953308427E-2</v>
      </c>
      <c r="BN79" s="1">
        <f t="shared" si="16"/>
        <v>1.4239962268841947E-3</v>
      </c>
      <c r="BO79">
        <f t="shared" si="17"/>
        <v>4.2163572069367876E-2</v>
      </c>
      <c r="BP79">
        <f t="shared" si="18"/>
        <v>-9.7262121802117509E-7</v>
      </c>
      <c r="BQ79">
        <f t="shared" si="19"/>
        <v>1.4559238858103143E-5</v>
      </c>
      <c r="BR79">
        <f t="shared" si="20"/>
        <v>6.6823584991635085E-3</v>
      </c>
      <c r="BS79">
        <f t="shared" si="21"/>
        <v>6.5285869793668225E-2</v>
      </c>
    </row>
    <row r="80" spans="1:71" x14ac:dyDescent="0.2">
      <c r="A80">
        <v>26093</v>
      </c>
      <c r="B80" t="s">
        <v>50</v>
      </c>
      <c r="C80" t="s">
        <v>129</v>
      </c>
      <c r="D80">
        <v>43.667000000000002</v>
      </c>
      <c r="E80">
        <v>-79.400000000000006</v>
      </c>
      <c r="F80">
        <v>75</v>
      </c>
      <c r="G80">
        <v>1011</v>
      </c>
      <c r="H80">
        <v>49.39</v>
      </c>
      <c r="I80">
        <v>16.2</v>
      </c>
      <c r="J80">
        <v>188.85</v>
      </c>
      <c r="K80">
        <v>429.01</v>
      </c>
      <c r="L80">
        <v>454.96</v>
      </c>
      <c r="M80">
        <v>541.47</v>
      </c>
      <c r="N80">
        <v>1363.77</v>
      </c>
      <c r="O80">
        <v>0.44019999999999998</v>
      </c>
      <c r="P80">
        <v>0.94299999999999995</v>
      </c>
      <c r="Q80">
        <v>1E-3</v>
      </c>
      <c r="R80">
        <v>0</v>
      </c>
      <c r="S80">
        <v>322.7</v>
      </c>
      <c r="T80">
        <v>205.6</v>
      </c>
      <c r="U80">
        <v>405.3</v>
      </c>
      <c r="V80">
        <v>1.24</v>
      </c>
      <c r="W80">
        <v>4.9000000000000002E-2</v>
      </c>
      <c r="X80">
        <v>80</v>
      </c>
      <c r="Y80">
        <v>48.3</v>
      </c>
      <c r="Z80">
        <v>186.57564291289185</v>
      </c>
      <c r="AA80">
        <v>423.84334956875688</v>
      </c>
      <c r="AB80">
        <v>449.48082869816932</v>
      </c>
      <c r="AC80">
        <v>1.5343932241824234</v>
      </c>
      <c r="AD80">
        <v>3.7770000000000001</v>
      </c>
      <c r="AE80">
        <v>8.5801999999999996</v>
      </c>
      <c r="AF80">
        <v>9.0991999999999997</v>
      </c>
      <c r="AG80">
        <v>3.7315128582578372</v>
      </c>
      <c r="AH80">
        <v>8.4768669913751378</v>
      </c>
      <c r="AI80">
        <v>8.9896165739633869</v>
      </c>
      <c r="AJ80">
        <v>2.5</v>
      </c>
      <c r="AK80">
        <v>7.7745246947936372E-2</v>
      </c>
      <c r="AL80">
        <v>5.2288367488798881</v>
      </c>
      <c r="AM80">
        <v>6.0493639284010747</v>
      </c>
      <c r="AN80">
        <v>6.1080932027199664</v>
      </c>
      <c r="AO80">
        <v>0.02</v>
      </c>
      <c r="AP80">
        <v>0.02</v>
      </c>
      <c r="AQ80">
        <v>0.02</v>
      </c>
      <c r="AS80">
        <f t="shared" si="11"/>
        <v>1.0254664005271346</v>
      </c>
      <c r="AT80" s="1">
        <v>9.8442442509999993E-4</v>
      </c>
      <c r="AU80">
        <f t="shared" si="12"/>
        <v>1.5636403962244025</v>
      </c>
      <c r="AV80">
        <f t="shared" si="13"/>
        <v>4.2288100194301737E-2</v>
      </c>
      <c r="BK80">
        <f t="shared" si="14"/>
        <v>1.5390258658781188</v>
      </c>
      <c r="BL80">
        <f t="shared" si="15"/>
        <v>6.5772659360791061E-2</v>
      </c>
      <c r="BN80" s="1">
        <f t="shared" si="16"/>
        <v>1.4285486657142654E-3</v>
      </c>
      <c r="BO80">
        <f t="shared" si="17"/>
        <v>4.2263964162782795E-2</v>
      </c>
      <c r="BP80">
        <f t="shared" si="18"/>
        <v>-9.7623573212508632E-7</v>
      </c>
      <c r="BQ80">
        <f t="shared" si="19"/>
        <v>1.4613344786721367E-5</v>
      </c>
      <c r="BR80">
        <f t="shared" si="20"/>
        <v>6.6982755088485692E-3</v>
      </c>
      <c r="BS80">
        <f t="shared" si="21"/>
        <v>6.5430693180611593E-2</v>
      </c>
    </row>
    <row r="81" spans="1:71" x14ac:dyDescent="0.2">
      <c r="A81">
        <v>26093</v>
      </c>
      <c r="B81" t="s">
        <v>50</v>
      </c>
      <c r="C81" t="s">
        <v>130</v>
      </c>
      <c r="D81">
        <v>43.667000000000002</v>
      </c>
      <c r="E81">
        <v>-79.400000000000006</v>
      </c>
      <c r="F81">
        <v>75</v>
      </c>
      <c r="G81">
        <v>1011</v>
      </c>
      <c r="H81">
        <v>49.97</v>
      </c>
      <c r="I81">
        <v>16.3</v>
      </c>
      <c r="J81">
        <v>185.13</v>
      </c>
      <c r="K81">
        <v>426.99</v>
      </c>
      <c r="L81">
        <v>459.5</v>
      </c>
      <c r="M81">
        <v>539.16999999999996</v>
      </c>
      <c r="N81">
        <v>1384.33</v>
      </c>
      <c r="O81">
        <v>0.43359999999999999</v>
      </c>
      <c r="P81">
        <v>0.92920000000000003</v>
      </c>
      <c r="Q81">
        <v>1E-3</v>
      </c>
      <c r="R81">
        <v>1E-3</v>
      </c>
      <c r="S81">
        <v>322</v>
      </c>
      <c r="T81">
        <v>210.4</v>
      </c>
      <c r="U81">
        <v>400.7</v>
      </c>
      <c r="V81">
        <v>1.26</v>
      </c>
      <c r="W81">
        <v>3.7999999999999999E-2</v>
      </c>
      <c r="X81">
        <v>80</v>
      </c>
      <c r="Y81">
        <v>49.3</v>
      </c>
      <c r="Z81">
        <v>182.90044359260614</v>
      </c>
      <c r="AA81">
        <v>421.84767681956947</v>
      </c>
      <c r="AB81">
        <v>453.96615259980837</v>
      </c>
      <c r="AC81">
        <v>1.5527241199073194</v>
      </c>
      <c r="AD81">
        <v>3.7025999999999999</v>
      </c>
      <c r="AE81">
        <v>8.5397999999999996</v>
      </c>
      <c r="AF81">
        <v>9.19</v>
      </c>
      <c r="AG81">
        <v>3.6580088718521226</v>
      </c>
      <c r="AH81">
        <v>8.436953536391389</v>
      </c>
      <c r="AI81">
        <v>9.0793230519961661</v>
      </c>
      <c r="AJ81">
        <v>2.5</v>
      </c>
      <c r="AK81">
        <v>8.0296775105260274E-2</v>
      </c>
      <c r="AL81">
        <v>5.208941980722507</v>
      </c>
      <c r="AM81">
        <v>6.0446442934720661</v>
      </c>
      <c r="AN81">
        <v>6.1180226415171637</v>
      </c>
      <c r="AO81">
        <v>0.02</v>
      </c>
      <c r="AP81">
        <v>0.02</v>
      </c>
      <c r="AQ81">
        <v>1.9999999999999997E-2</v>
      </c>
      <c r="AS81">
        <f t="shared" si="11"/>
        <v>1.0254664005271346</v>
      </c>
      <c r="AT81" s="1">
        <v>9.8442442509999993E-4</v>
      </c>
      <c r="AU81">
        <f t="shared" si="12"/>
        <v>1.58359443767604</v>
      </c>
      <c r="AV81">
        <f t="shared" si="13"/>
        <v>4.3782046390572864E-2</v>
      </c>
      <c r="BK81">
        <f t="shared" si="14"/>
        <v>1.5576138617616593</v>
      </c>
      <c r="BL81">
        <f t="shared" si="15"/>
        <v>6.7932971566193781E-2</v>
      </c>
      <c r="BN81" s="1">
        <f t="shared" si="16"/>
        <v>1.4967433768830177E-3</v>
      </c>
      <c r="BO81">
        <f t="shared" si="17"/>
        <v>4.3756454899934835E-2</v>
      </c>
      <c r="BP81">
        <f t="shared" si="18"/>
        <v>-1.0304144012496367E-6</v>
      </c>
      <c r="BQ81">
        <f t="shared" si="19"/>
        <v>1.5424349286914465E-5</v>
      </c>
      <c r="BR81">
        <f t="shared" si="20"/>
        <v>6.9349109493635538E-3</v>
      </c>
      <c r="BS81">
        <f t="shared" si="21"/>
        <v>6.7578068905269739E-2</v>
      </c>
    </row>
    <row r="82" spans="1:71" x14ac:dyDescent="0.2">
      <c r="A82">
        <v>26093</v>
      </c>
      <c r="B82" t="s">
        <v>50</v>
      </c>
      <c r="C82" t="s">
        <v>131</v>
      </c>
      <c r="D82">
        <v>43.667000000000002</v>
      </c>
      <c r="E82">
        <v>-79.400000000000006</v>
      </c>
      <c r="F82">
        <v>75</v>
      </c>
      <c r="G82">
        <v>1011</v>
      </c>
      <c r="H82">
        <v>50.01</v>
      </c>
      <c r="I82">
        <v>16.3</v>
      </c>
      <c r="J82">
        <v>184.27</v>
      </c>
      <c r="K82">
        <v>426.21</v>
      </c>
      <c r="L82">
        <v>460.2</v>
      </c>
      <c r="M82">
        <v>535.1</v>
      </c>
      <c r="N82">
        <v>1379.64</v>
      </c>
      <c r="O82">
        <v>0.43240000000000001</v>
      </c>
      <c r="P82">
        <v>0.92610000000000003</v>
      </c>
      <c r="Q82">
        <v>2E-3</v>
      </c>
      <c r="R82">
        <v>0</v>
      </c>
      <c r="S82">
        <v>322.39999999999998</v>
      </c>
      <c r="T82">
        <v>212.1</v>
      </c>
      <c r="U82">
        <v>400.2</v>
      </c>
      <c r="V82">
        <v>1.27</v>
      </c>
      <c r="W82">
        <v>0.04</v>
      </c>
      <c r="X82">
        <v>80</v>
      </c>
      <c r="Y82">
        <v>49.2</v>
      </c>
      <c r="Z82">
        <v>182.05080073899171</v>
      </c>
      <c r="AA82">
        <v>421.07707051047731</v>
      </c>
      <c r="AB82">
        <v>454.65772236437823</v>
      </c>
      <c r="AC82">
        <v>1.5540103131215623</v>
      </c>
      <c r="AD82">
        <v>3.6854000000000005</v>
      </c>
      <c r="AE82">
        <v>8.5242000000000004</v>
      </c>
      <c r="AF82">
        <v>9.2040000000000006</v>
      </c>
      <c r="AG82">
        <v>3.6410160147798347</v>
      </c>
      <c r="AH82">
        <v>8.4215414102095458</v>
      </c>
      <c r="AI82">
        <v>9.0931544472875654</v>
      </c>
      <c r="AJ82">
        <v>2.5</v>
      </c>
      <c r="AK82">
        <v>8.047671561324761E-2</v>
      </c>
      <c r="AL82">
        <v>5.2042857730681922</v>
      </c>
      <c r="AM82">
        <v>6.0428158822735174</v>
      </c>
      <c r="AN82">
        <v>6.1195448773226877</v>
      </c>
      <c r="AO82">
        <v>2.0000000000000004E-2</v>
      </c>
      <c r="AP82">
        <v>0.02</v>
      </c>
      <c r="AQ82">
        <v>0.02</v>
      </c>
      <c r="AS82">
        <f t="shared" si="11"/>
        <v>1.0254664005271346</v>
      </c>
      <c r="AT82" s="1">
        <v>9.8442442509999993E-4</v>
      </c>
      <c r="AU82">
        <f t="shared" si="12"/>
        <v>1.5849963318367026</v>
      </c>
      <c r="AV82">
        <f t="shared" si="13"/>
        <v>4.3887683283227695E-2</v>
      </c>
      <c r="BK82">
        <f t="shared" si="14"/>
        <v>1.5589183815692511</v>
      </c>
      <c r="BL82">
        <f t="shared" si="15"/>
        <v>6.8085327167707682E-2</v>
      </c>
      <c r="BN82" s="1">
        <f t="shared" si="16"/>
        <v>1.5016016172307515E-3</v>
      </c>
      <c r="BO82">
        <f t="shared" si="17"/>
        <v>4.3861987375768026E-2</v>
      </c>
      <c r="BP82">
        <f t="shared" si="18"/>
        <v>-1.0342763608939209E-6</v>
      </c>
      <c r="BQ82">
        <f t="shared" si="19"/>
        <v>1.5482159246104837E-5</v>
      </c>
      <c r="BR82">
        <f t="shared" si="20"/>
        <v>6.9516434345697833E-3</v>
      </c>
      <c r="BS82">
        <f t="shared" si="21"/>
        <v>6.7729507515745399E-2</v>
      </c>
    </row>
    <row r="83" spans="1:71" x14ac:dyDescent="0.2">
      <c r="A83">
        <v>26093</v>
      </c>
      <c r="B83" t="s">
        <v>50</v>
      </c>
      <c r="C83" t="s">
        <v>132</v>
      </c>
      <c r="D83">
        <v>43.667000000000002</v>
      </c>
      <c r="E83">
        <v>-79.400000000000006</v>
      </c>
      <c r="F83">
        <v>75</v>
      </c>
      <c r="G83">
        <v>1011</v>
      </c>
      <c r="H83">
        <v>50.04</v>
      </c>
      <c r="I83">
        <v>16.2</v>
      </c>
      <c r="J83">
        <v>177.96</v>
      </c>
      <c r="K83">
        <v>417.16</v>
      </c>
      <c r="L83">
        <v>453.86</v>
      </c>
      <c r="M83">
        <v>518.53</v>
      </c>
      <c r="N83">
        <v>1344.62</v>
      </c>
      <c r="O83">
        <v>0.42659999999999998</v>
      </c>
      <c r="P83">
        <v>0.91920000000000002</v>
      </c>
      <c r="Q83">
        <v>1.0999999999999999E-2</v>
      </c>
      <c r="R83">
        <v>0</v>
      </c>
      <c r="S83">
        <v>325.2</v>
      </c>
      <c r="T83">
        <v>216.1</v>
      </c>
      <c r="U83">
        <v>402.3</v>
      </c>
      <c r="V83">
        <v>1.27</v>
      </c>
      <c r="W83">
        <v>5.7000000000000002E-2</v>
      </c>
      <c r="X83">
        <v>80</v>
      </c>
      <c r="Y83">
        <v>49.1</v>
      </c>
      <c r="Z83">
        <v>175.8167932897974</v>
      </c>
      <c r="AA83">
        <v>412.13606141139513</v>
      </c>
      <c r="AB83">
        <v>448.39407621098809</v>
      </c>
      <c r="AC83">
        <v>1.5549768497249721</v>
      </c>
      <c r="AD83">
        <v>3.5592000000000001</v>
      </c>
      <c r="AE83">
        <v>8.3432000000000013</v>
      </c>
      <c r="AF83">
        <v>9.0772000000000013</v>
      </c>
      <c r="AG83">
        <v>3.5163358657959476</v>
      </c>
      <c r="AH83">
        <v>8.2427212282279037</v>
      </c>
      <c r="AI83">
        <v>8.9678815242197629</v>
      </c>
      <c r="AJ83">
        <v>2.5</v>
      </c>
      <c r="AK83">
        <v>8.0612014732975815E-2</v>
      </c>
      <c r="AL83">
        <v>5.169442505659263</v>
      </c>
      <c r="AM83">
        <v>6.0213535409744345</v>
      </c>
      <c r="AN83">
        <v>6.1056724801628981</v>
      </c>
      <c r="AO83">
        <v>1.9999999999999997E-2</v>
      </c>
      <c r="AP83">
        <v>2.0000000000000004E-2</v>
      </c>
      <c r="AQ83">
        <v>2.0000000000000004E-2</v>
      </c>
      <c r="AS83">
        <f t="shared" si="11"/>
        <v>1.0254664005271346</v>
      </c>
      <c r="AT83" s="1">
        <v>9.8442442509999993E-4</v>
      </c>
      <c r="AU83">
        <f t="shared" si="12"/>
        <v>1.5860499716475893</v>
      </c>
      <c r="AV83">
        <f t="shared" si="13"/>
        <v>4.3967137094940635E-2</v>
      </c>
      <c r="BK83">
        <f t="shared" si="14"/>
        <v>1.5598987149920662</v>
      </c>
      <c r="BL83">
        <f t="shared" si="15"/>
        <v>6.8199885319712994E-2</v>
      </c>
      <c r="BN83" s="1">
        <f t="shared" si="16"/>
        <v>1.5052588227455379E-3</v>
      </c>
      <c r="BO83">
        <f t="shared" si="17"/>
        <v>4.3941362520998957E-2</v>
      </c>
      <c r="BP83">
        <f t="shared" si="18"/>
        <v>-1.0371837621086319E-6</v>
      </c>
      <c r="BQ83">
        <f t="shared" si="19"/>
        <v>1.5525680349651638E-5</v>
      </c>
      <c r="BR83">
        <f t="shared" si="20"/>
        <v>6.9642286185491089E-3</v>
      </c>
      <c r="BS83">
        <f t="shared" si="21"/>
        <v>6.7843375765420794E-2</v>
      </c>
    </row>
    <row r="84" spans="1:71" x14ac:dyDescent="0.2">
      <c r="A84">
        <v>26093</v>
      </c>
      <c r="B84" t="s">
        <v>50</v>
      </c>
      <c r="C84" t="s">
        <v>133</v>
      </c>
      <c r="D84">
        <v>43.667000000000002</v>
      </c>
      <c r="E84">
        <v>-79.400000000000006</v>
      </c>
      <c r="F84">
        <v>75</v>
      </c>
      <c r="G84">
        <v>1011</v>
      </c>
      <c r="H84">
        <v>50.1</v>
      </c>
      <c r="I84">
        <v>16.2</v>
      </c>
      <c r="J84">
        <v>184.39</v>
      </c>
      <c r="K84">
        <v>426.89</v>
      </c>
      <c r="L84">
        <v>452.79</v>
      </c>
      <c r="M84">
        <v>545.83000000000004</v>
      </c>
      <c r="N84">
        <v>1375.28</v>
      </c>
      <c r="O84">
        <v>0.43190000000000001</v>
      </c>
      <c r="P84">
        <v>0.94279999999999997</v>
      </c>
      <c r="Q84">
        <v>0</v>
      </c>
      <c r="R84">
        <v>0</v>
      </c>
      <c r="S84">
        <v>322</v>
      </c>
      <c r="T84">
        <v>201.5</v>
      </c>
      <c r="U84">
        <v>407</v>
      </c>
      <c r="V84">
        <v>1.22</v>
      </c>
      <c r="W84">
        <v>4.2000000000000003E-2</v>
      </c>
      <c r="X84">
        <v>80</v>
      </c>
      <c r="Y84">
        <v>48.7</v>
      </c>
      <c r="Z84">
        <v>182.1693555557751</v>
      </c>
      <c r="AA84">
        <v>421.7488811389166</v>
      </c>
      <c r="AB84">
        <v>447.33696242800272</v>
      </c>
      <c r="AC84">
        <v>1.5569148026418187</v>
      </c>
      <c r="AD84">
        <v>3.6877999999999997</v>
      </c>
      <c r="AE84">
        <v>8.5378000000000007</v>
      </c>
      <c r="AF84">
        <v>9.0558000000000014</v>
      </c>
      <c r="AG84">
        <v>3.6433871111155018</v>
      </c>
      <c r="AH84">
        <v>8.4349776227783337</v>
      </c>
      <c r="AI84">
        <v>8.9467392485600552</v>
      </c>
      <c r="AJ84">
        <v>2.5</v>
      </c>
      <c r="AK84">
        <v>8.088350071472436E-2</v>
      </c>
      <c r="AL84">
        <v>5.2049367794384951</v>
      </c>
      <c r="AM84">
        <v>6.0444100685213531</v>
      </c>
      <c r="AN84">
        <v>6.1033121415608687</v>
      </c>
      <c r="AO84">
        <v>0.02</v>
      </c>
      <c r="AP84">
        <v>2.0000000000000004E-2</v>
      </c>
      <c r="AQ84">
        <v>0.02</v>
      </c>
      <c r="AS84">
        <f t="shared" si="11"/>
        <v>1.0254664005271346</v>
      </c>
      <c r="AT84" s="1">
        <v>9.8442442509999993E-4</v>
      </c>
      <c r="AU84">
        <f t="shared" si="12"/>
        <v>1.5881629779399749</v>
      </c>
      <c r="AV84">
        <f t="shared" si="13"/>
        <v>4.4126629108315815E-2</v>
      </c>
      <c r="BK84">
        <f t="shared" si="14"/>
        <v>1.5618643957030849</v>
      </c>
      <c r="BL84">
        <f t="shared" si="15"/>
        <v>6.8429754333169932E-2</v>
      </c>
      <c r="BN84" s="1">
        <f t="shared" si="16"/>
        <v>1.512608217837164E-3</v>
      </c>
      <c r="BO84">
        <f t="shared" si="17"/>
        <v>4.4100696285231097E-2</v>
      </c>
      <c r="BP84">
        <f t="shared" si="18"/>
        <v>-1.0430268350725721E-6</v>
      </c>
      <c r="BQ84">
        <f t="shared" si="19"/>
        <v>1.5613145740464731E-5</v>
      </c>
      <c r="BR84">
        <f t="shared" si="20"/>
        <v>6.9894915516707035E-3</v>
      </c>
      <c r="BS84">
        <f t="shared" si="21"/>
        <v>6.8071859392034292E-2</v>
      </c>
    </row>
    <row r="85" spans="1:71" x14ac:dyDescent="0.2">
      <c r="A85">
        <v>26093</v>
      </c>
      <c r="B85" t="s">
        <v>50</v>
      </c>
      <c r="C85" t="s">
        <v>134</v>
      </c>
      <c r="D85">
        <v>43.667000000000002</v>
      </c>
      <c r="E85">
        <v>-79.400000000000006</v>
      </c>
      <c r="F85">
        <v>75</v>
      </c>
      <c r="G85">
        <v>1011</v>
      </c>
      <c r="H85">
        <v>50.13</v>
      </c>
      <c r="I85">
        <v>16.2</v>
      </c>
      <c r="J85">
        <v>183.23</v>
      </c>
      <c r="K85">
        <v>424.05</v>
      </c>
      <c r="L85">
        <v>452.76</v>
      </c>
      <c r="M85">
        <v>538.25</v>
      </c>
      <c r="N85">
        <v>1359.62</v>
      </c>
      <c r="O85">
        <v>0.43209999999999998</v>
      </c>
      <c r="P85">
        <v>0.93659999999999999</v>
      </c>
      <c r="Q85">
        <v>1E-3</v>
      </c>
      <c r="R85">
        <v>0</v>
      </c>
      <c r="S85">
        <v>321.60000000000002</v>
      </c>
      <c r="T85">
        <v>205</v>
      </c>
      <c r="U85">
        <v>403.9</v>
      </c>
      <c r="V85">
        <v>1.22</v>
      </c>
      <c r="W85">
        <v>0.05</v>
      </c>
      <c r="X85">
        <v>80</v>
      </c>
      <c r="Y85">
        <v>49.2</v>
      </c>
      <c r="Z85">
        <v>181.02332566020215</v>
      </c>
      <c r="AA85">
        <v>418.94308380837595</v>
      </c>
      <c r="AB85">
        <v>447.3073237238068</v>
      </c>
      <c r="AC85">
        <v>1.557886226071691</v>
      </c>
      <c r="AD85">
        <v>3.6646000000000001</v>
      </c>
      <c r="AE85">
        <v>8.4809999999999999</v>
      </c>
      <c r="AF85">
        <v>9.0551999999999992</v>
      </c>
      <c r="AG85">
        <v>3.6204665132040432</v>
      </c>
      <c r="AH85">
        <v>8.378861676167519</v>
      </c>
      <c r="AI85">
        <v>8.9461464744761354</v>
      </c>
      <c r="AJ85">
        <v>2.5</v>
      </c>
      <c r="AK85">
        <v>8.1019689359073194E-2</v>
      </c>
      <c r="AL85">
        <v>5.1986258940135057</v>
      </c>
      <c r="AM85">
        <v>6.0377350725291317</v>
      </c>
      <c r="AN85">
        <v>6.1032458834856413</v>
      </c>
      <c r="AO85">
        <v>0.02</v>
      </c>
      <c r="AP85">
        <v>0.02</v>
      </c>
      <c r="AQ85">
        <v>1.9999999999999997E-2</v>
      </c>
      <c r="AS85">
        <f t="shared" si="11"/>
        <v>1.0254664005271346</v>
      </c>
      <c r="AT85" s="1">
        <v>9.8442442509999993E-4</v>
      </c>
      <c r="AU85">
        <f t="shared" si="12"/>
        <v>1.5892223537783861</v>
      </c>
      <c r="AV85">
        <f t="shared" si="13"/>
        <v>4.4206668647530561E-2</v>
      </c>
      <c r="BK85">
        <f t="shared" si="14"/>
        <v>1.5628497504626069</v>
      </c>
      <c r="BL85">
        <f t="shared" si="15"/>
        <v>6.8545066708727398E-2</v>
      </c>
      <c r="BN85" s="1">
        <f t="shared" si="16"/>
        <v>1.5163005025773579E-3</v>
      </c>
      <c r="BO85">
        <f t="shared" si="17"/>
        <v>4.4180656238884064E-2</v>
      </c>
      <c r="BP85">
        <f t="shared" si="18"/>
        <v>-1.0459625816062498E-6</v>
      </c>
      <c r="BQ85">
        <f t="shared" si="19"/>
        <v>1.5657091147184956E-5</v>
      </c>
      <c r="BR85">
        <f t="shared" si="20"/>
        <v>7.0021695126762417E-3</v>
      </c>
      <c r="BS85">
        <f t="shared" si="21"/>
        <v>6.8186476268986773E-2</v>
      </c>
    </row>
    <row r="86" spans="1:71" x14ac:dyDescent="0.2">
      <c r="A86">
        <v>26093</v>
      </c>
      <c r="B86" t="s">
        <v>50</v>
      </c>
      <c r="C86" t="s">
        <v>135</v>
      </c>
      <c r="D86">
        <v>43.667000000000002</v>
      </c>
      <c r="E86">
        <v>-79.400000000000006</v>
      </c>
      <c r="F86">
        <v>75</v>
      </c>
      <c r="G86">
        <v>1011</v>
      </c>
      <c r="H86">
        <v>50.18</v>
      </c>
      <c r="I86">
        <v>16.2</v>
      </c>
      <c r="J86">
        <v>179.29</v>
      </c>
      <c r="K86">
        <v>418.89</v>
      </c>
      <c r="L86">
        <v>455.07</v>
      </c>
      <c r="M86">
        <v>526.41999999999996</v>
      </c>
      <c r="N86">
        <v>1361.64</v>
      </c>
      <c r="O86">
        <v>0.42799999999999999</v>
      </c>
      <c r="P86">
        <v>0.92049999999999998</v>
      </c>
      <c r="Q86">
        <v>1E-3</v>
      </c>
      <c r="R86">
        <v>0</v>
      </c>
      <c r="S86">
        <v>323.5</v>
      </c>
      <c r="T86">
        <v>214.5</v>
      </c>
      <c r="U86">
        <v>400.4</v>
      </c>
      <c r="V86">
        <v>1.27</v>
      </c>
      <c r="W86">
        <v>4.9000000000000002E-2</v>
      </c>
      <c r="X86">
        <v>80</v>
      </c>
      <c r="Y86">
        <v>49.2</v>
      </c>
      <c r="Z86">
        <v>177.13077584248018</v>
      </c>
      <c r="AA86">
        <v>413.84522668668927</v>
      </c>
      <c r="AB86">
        <v>449.58950394688748</v>
      </c>
      <c r="AC86">
        <v>1.55950890261689</v>
      </c>
      <c r="AD86">
        <v>3.5857999999999999</v>
      </c>
      <c r="AE86">
        <v>8.3778000000000006</v>
      </c>
      <c r="AF86">
        <v>9.1013999999999999</v>
      </c>
      <c r="AG86">
        <v>3.5426155168496036</v>
      </c>
      <c r="AH86">
        <v>8.2769045337337861</v>
      </c>
      <c r="AI86">
        <v>8.9917900789377487</v>
      </c>
      <c r="AJ86">
        <v>2.5</v>
      </c>
      <c r="AK86">
        <v>8.1247333757156134E-2</v>
      </c>
      <c r="AL86">
        <v>5.1768883063287578</v>
      </c>
      <c r="AM86">
        <v>6.0254920553436353</v>
      </c>
      <c r="AN86">
        <v>6.108334952993113</v>
      </c>
      <c r="AO86">
        <v>0.02</v>
      </c>
      <c r="AP86">
        <v>0.02</v>
      </c>
      <c r="AQ86">
        <v>1.9999999999999997E-2</v>
      </c>
      <c r="AS86">
        <f t="shared" si="11"/>
        <v>1.0254664005271346</v>
      </c>
      <c r="AT86" s="1">
        <v>9.8442442509999993E-4</v>
      </c>
      <c r="AU86">
        <f t="shared" si="12"/>
        <v>1.5909922522671807</v>
      </c>
      <c r="AV86">
        <f t="shared" si="13"/>
        <v>4.4340505068595368E-2</v>
      </c>
      <c r="BK86">
        <f t="shared" si="14"/>
        <v>1.5644957464081717</v>
      </c>
      <c r="BL86">
        <f t="shared" si="15"/>
        <v>6.8737816437794669E-2</v>
      </c>
      <c r="BN86" s="1">
        <f t="shared" si="16"/>
        <v>1.5224805312137068E-3</v>
      </c>
      <c r="BO86">
        <f t="shared" si="17"/>
        <v>4.4314359329343883E-2</v>
      </c>
      <c r="BP86">
        <f t="shared" si="18"/>
        <v>-1.0508766745546095E-6</v>
      </c>
      <c r="BQ86">
        <f t="shared" si="19"/>
        <v>1.5730650567522966E-5</v>
      </c>
      <c r="BR86">
        <f t="shared" si="20"/>
        <v>7.0233686967798381E-3</v>
      </c>
      <c r="BS86">
        <f t="shared" si="21"/>
        <v>6.8378062653363755E-2</v>
      </c>
    </row>
    <row r="87" spans="1:71" x14ac:dyDescent="0.2">
      <c r="A87">
        <v>26093</v>
      </c>
      <c r="B87" t="s">
        <v>50</v>
      </c>
      <c r="C87" t="s">
        <v>136</v>
      </c>
      <c r="D87">
        <v>43.667000000000002</v>
      </c>
      <c r="E87">
        <v>-79.400000000000006</v>
      </c>
      <c r="F87">
        <v>75</v>
      </c>
      <c r="G87">
        <v>1011</v>
      </c>
      <c r="H87">
        <v>50.22</v>
      </c>
      <c r="I87">
        <v>16.2</v>
      </c>
      <c r="J87">
        <v>182.69</v>
      </c>
      <c r="K87">
        <v>423.63</v>
      </c>
      <c r="L87">
        <v>452.66</v>
      </c>
      <c r="M87">
        <v>544.47</v>
      </c>
      <c r="N87">
        <v>1385.74</v>
      </c>
      <c r="O87">
        <v>0.43130000000000002</v>
      </c>
      <c r="P87">
        <v>0.93589999999999995</v>
      </c>
      <c r="Q87">
        <v>1E-3</v>
      </c>
      <c r="R87">
        <v>2E-3</v>
      </c>
      <c r="S87">
        <v>321.39999999999998</v>
      </c>
      <c r="T87">
        <v>204.9</v>
      </c>
      <c r="U87">
        <v>403.6</v>
      </c>
      <c r="V87">
        <v>1.24</v>
      </c>
      <c r="W87">
        <v>3.6999999999999998E-2</v>
      </c>
      <c r="X87">
        <v>80</v>
      </c>
      <c r="Y87">
        <v>48.7</v>
      </c>
      <c r="Z87">
        <v>180.48982898467679</v>
      </c>
      <c r="AA87">
        <v>418.528141949634</v>
      </c>
      <c r="AB87">
        <v>447.20852804315399</v>
      </c>
      <c r="AC87">
        <v>1.56081032717113</v>
      </c>
      <c r="AD87">
        <v>3.6537999999999999</v>
      </c>
      <c r="AE87">
        <v>8.4725999999999999</v>
      </c>
      <c r="AF87">
        <v>9.0532000000000004</v>
      </c>
      <c r="AG87">
        <v>3.6097965796935361</v>
      </c>
      <c r="AH87">
        <v>8.3705628389926794</v>
      </c>
      <c r="AI87">
        <v>8.9441705608630802</v>
      </c>
      <c r="AJ87">
        <v>2.5</v>
      </c>
      <c r="AK87">
        <v>8.1430048669673252E-2</v>
      </c>
      <c r="AL87">
        <v>5.1956744270699007</v>
      </c>
      <c r="AM87">
        <v>6.0367441324706927</v>
      </c>
      <c r="AN87">
        <v>6.1030249915230019</v>
      </c>
      <c r="AO87">
        <v>0.02</v>
      </c>
      <c r="AP87">
        <v>1.9999999999999997E-2</v>
      </c>
      <c r="AQ87">
        <v>0.02</v>
      </c>
      <c r="AS87">
        <f t="shared" si="11"/>
        <v>1.0254664005271346</v>
      </c>
      <c r="AT87" s="1">
        <v>9.8442442509999993E-4</v>
      </c>
      <c r="AU87">
        <f t="shared" si="12"/>
        <v>1.5924120285417522</v>
      </c>
      <c r="AV87">
        <f t="shared" si="13"/>
        <v>4.4447969481654762E-2</v>
      </c>
      <c r="BK87">
        <f t="shared" si="14"/>
        <v>1.5658159174283461</v>
      </c>
      <c r="BL87">
        <f t="shared" si="15"/>
        <v>6.8892524454710197E-2</v>
      </c>
      <c r="BN87" s="1">
        <f t="shared" si="16"/>
        <v>1.5274482815092261E-3</v>
      </c>
      <c r="BO87">
        <f t="shared" si="17"/>
        <v>4.442171645478625E-2</v>
      </c>
      <c r="BP87">
        <f t="shared" si="18"/>
        <v>-1.0548271138716255E-6</v>
      </c>
      <c r="BQ87">
        <f t="shared" si="19"/>
        <v>1.5789784985470269E-5</v>
      </c>
      <c r="BR87">
        <f t="shared" si="20"/>
        <v>7.0403906543225299E-3</v>
      </c>
      <c r="BS87">
        <f t="shared" si="21"/>
        <v>6.8531836213160086E-2</v>
      </c>
    </row>
    <row r="88" spans="1:71" x14ac:dyDescent="0.2">
      <c r="A88">
        <v>26093</v>
      </c>
      <c r="B88" t="s">
        <v>50</v>
      </c>
      <c r="C88" t="s">
        <v>137</v>
      </c>
      <c r="D88">
        <v>43.667000000000002</v>
      </c>
      <c r="E88">
        <v>-79.400000000000006</v>
      </c>
      <c r="F88">
        <v>75</v>
      </c>
      <c r="G88">
        <v>1011</v>
      </c>
      <c r="H88">
        <v>50.27</v>
      </c>
      <c r="I88">
        <v>16.3</v>
      </c>
      <c r="J88">
        <v>181.09</v>
      </c>
      <c r="K88">
        <v>420.5</v>
      </c>
      <c r="L88">
        <v>451.71</v>
      </c>
      <c r="M88">
        <v>537.07000000000005</v>
      </c>
      <c r="N88">
        <v>1376.16</v>
      </c>
      <c r="O88">
        <v>0.43070000000000003</v>
      </c>
      <c r="P88">
        <v>0.93089999999999995</v>
      </c>
      <c r="Q88">
        <v>2E-3</v>
      </c>
      <c r="R88">
        <v>2E-3</v>
      </c>
      <c r="S88">
        <v>321.3</v>
      </c>
      <c r="T88">
        <v>207.6</v>
      </c>
      <c r="U88">
        <v>401.6</v>
      </c>
      <c r="V88">
        <v>1.25</v>
      </c>
      <c r="W88">
        <v>4.2000000000000003E-2</v>
      </c>
      <c r="X88">
        <v>80</v>
      </c>
      <c r="Y88">
        <v>48.9</v>
      </c>
      <c r="Z88">
        <v>178.90909809423133</v>
      </c>
      <c r="AA88">
        <v>415.43583714520003</v>
      </c>
      <c r="AB88">
        <v>446.26996907695195</v>
      </c>
      <c r="AC88">
        <v>1.5624412260307319</v>
      </c>
      <c r="AD88">
        <v>3.6218000000000004</v>
      </c>
      <c r="AE88">
        <v>8.41</v>
      </c>
      <c r="AF88">
        <v>9.0342000000000002</v>
      </c>
      <c r="AG88">
        <v>3.5781819618846269</v>
      </c>
      <c r="AH88">
        <v>8.3087167429040019</v>
      </c>
      <c r="AI88">
        <v>8.9253993815390409</v>
      </c>
      <c r="AJ88">
        <v>2.5</v>
      </c>
      <c r="AK88">
        <v>8.1659195074736596E-2</v>
      </c>
      <c r="AL88">
        <v>5.1868778449746733</v>
      </c>
      <c r="AM88">
        <v>6.0293281791344251</v>
      </c>
      <c r="AN88">
        <v>6.100924080724484</v>
      </c>
      <c r="AO88">
        <v>2.0000000000000004E-2</v>
      </c>
      <c r="AP88">
        <v>2.0000000000000004E-2</v>
      </c>
      <c r="AQ88">
        <v>2.0000000000000004E-2</v>
      </c>
      <c r="AS88">
        <f t="shared" si="11"/>
        <v>1.0254664005271346</v>
      </c>
      <c r="AT88" s="1">
        <v>9.8442442509999993E-4</v>
      </c>
      <c r="AU88">
        <f t="shared" si="12"/>
        <v>1.5941915892058351</v>
      </c>
      <c r="AV88">
        <f t="shared" si="13"/>
        <v>4.4582796743337851E-2</v>
      </c>
      <c r="BK88">
        <f t="shared" si="14"/>
        <v>1.5674703637568457</v>
      </c>
      <c r="BL88">
        <f t="shared" si="15"/>
        <v>6.9086547759912714E-2</v>
      </c>
      <c r="BN88" s="1">
        <f t="shared" si="16"/>
        <v>1.5336878176541184E-3</v>
      </c>
      <c r="BO88">
        <f t="shared" si="17"/>
        <v>4.4556408822253112E-2</v>
      </c>
      <c r="BP88">
        <f t="shared" si="18"/>
        <v>-1.0597892676596319E-6</v>
      </c>
      <c r="BQ88">
        <f t="shared" si="19"/>
        <v>1.586406383206711E-5</v>
      </c>
      <c r="BR88">
        <f t="shared" si="20"/>
        <v>7.0617467838414126E-3</v>
      </c>
      <c r="BS88">
        <f t="shared" si="21"/>
        <v>6.8724686692279158E-2</v>
      </c>
    </row>
    <row r="89" spans="1:71" x14ac:dyDescent="0.2">
      <c r="A89">
        <v>26093</v>
      </c>
      <c r="B89" t="s">
        <v>50</v>
      </c>
      <c r="C89" t="s">
        <v>138</v>
      </c>
      <c r="D89">
        <v>43.667000000000002</v>
      </c>
      <c r="E89">
        <v>-79.400000000000006</v>
      </c>
      <c r="F89">
        <v>75</v>
      </c>
      <c r="G89">
        <v>1011</v>
      </c>
      <c r="H89">
        <v>50.32</v>
      </c>
      <c r="I89">
        <v>16.3</v>
      </c>
      <c r="J89">
        <v>180.54</v>
      </c>
      <c r="K89">
        <v>420.49</v>
      </c>
      <c r="L89">
        <v>450.06</v>
      </c>
      <c r="M89">
        <v>544.74</v>
      </c>
      <c r="N89">
        <v>1382.53</v>
      </c>
      <c r="O89">
        <v>0.42930000000000001</v>
      </c>
      <c r="P89">
        <v>0.93430000000000002</v>
      </c>
      <c r="Q89">
        <v>0</v>
      </c>
      <c r="R89">
        <v>1E-3</v>
      </c>
      <c r="S89">
        <v>321.7</v>
      </c>
      <c r="T89">
        <v>205.3</v>
      </c>
      <c r="U89">
        <v>403.9</v>
      </c>
      <c r="V89">
        <v>1.23</v>
      </c>
      <c r="W89">
        <v>3.9E-2</v>
      </c>
      <c r="X89">
        <v>80</v>
      </c>
      <c r="Y89">
        <v>49.2</v>
      </c>
      <c r="Z89">
        <v>178.36572185064068</v>
      </c>
      <c r="AA89">
        <v>415.4259575771348</v>
      </c>
      <c r="AB89">
        <v>444.63984034618011</v>
      </c>
      <c r="AC89">
        <v>1.5640767162826912</v>
      </c>
      <c r="AD89">
        <v>3.6107999999999998</v>
      </c>
      <c r="AE89">
        <v>8.4098000000000006</v>
      </c>
      <c r="AF89">
        <v>9.0012000000000008</v>
      </c>
      <c r="AG89">
        <v>3.567314437012814</v>
      </c>
      <c r="AH89">
        <v>8.3085191515426953</v>
      </c>
      <c r="AI89">
        <v>8.8927968069236023</v>
      </c>
      <c r="AJ89">
        <v>2.5</v>
      </c>
      <c r="AK89">
        <v>8.1889181821003368E-2</v>
      </c>
      <c r="AL89">
        <v>5.1838360595914308</v>
      </c>
      <c r="AM89">
        <v>6.0293043976388052</v>
      </c>
      <c r="AN89">
        <v>6.0972646069310219</v>
      </c>
      <c r="AO89">
        <v>2.0000000000000004E-2</v>
      </c>
      <c r="AP89">
        <v>1.9999999999999997E-2</v>
      </c>
      <c r="AQ89">
        <v>0.02</v>
      </c>
      <c r="AS89">
        <f t="shared" si="11"/>
        <v>1.0254664005271346</v>
      </c>
      <c r="AT89" s="1">
        <v>9.8442442509999993E-4</v>
      </c>
      <c r="AU89">
        <f t="shared" si="12"/>
        <v>1.595976548634533</v>
      </c>
      <c r="AV89">
        <f t="shared" si="13"/>
        <v>4.4718178909195529E-2</v>
      </c>
      <c r="BK89">
        <f t="shared" si="14"/>
        <v>1.5691295293624214</v>
      </c>
      <c r="BL89">
        <f t="shared" si="15"/>
        <v>6.9281283613747496E-2</v>
      </c>
      <c r="BN89" s="1">
        <f t="shared" si="16"/>
        <v>1.5399607302499516E-3</v>
      </c>
      <c r="BO89">
        <f t="shared" si="17"/>
        <v>4.4691655215533331E-2</v>
      </c>
      <c r="BP89">
        <f t="shared" si="18"/>
        <v>-1.0647783705709845E-6</v>
      </c>
      <c r="BQ89">
        <f t="shared" si="19"/>
        <v>1.5938746082081995E-5</v>
      </c>
      <c r="BR89">
        <f t="shared" si="20"/>
        <v>7.0831908080877786E-3</v>
      </c>
      <c r="BS89">
        <f t="shared" si="21"/>
        <v>6.8918244405725818E-2</v>
      </c>
    </row>
    <row r="90" spans="1:71" x14ac:dyDescent="0.2">
      <c r="A90">
        <v>26093</v>
      </c>
      <c r="B90" t="s">
        <v>50</v>
      </c>
      <c r="C90" t="s">
        <v>139</v>
      </c>
      <c r="D90">
        <v>43.667000000000002</v>
      </c>
      <c r="E90">
        <v>-79.400000000000006</v>
      </c>
      <c r="F90">
        <v>75</v>
      </c>
      <c r="G90">
        <v>1011</v>
      </c>
      <c r="H90">
        <v>50.36</v>
      </c>
      <c r="I90">
        <v>16.399999999999999</v>
      </c>
      <c r="J90">
        <v>178.78</v>
      </c>
      <c r="K90">
        <v>416.96</v>
      </c>
      <c r="L90">
        <v>446.22</v>
      </c>
      <c r="M90">
        <v>538.34</v>
      </c>
      <c r="N90">
        <v>1362.09</v>
      </c>
      <c r="O90">
        <v>0.42880000000000001</v>
      </c>
      <c r="P90">
        <v>0.93440000000000001</v>
      </c>
      <c r="Q90">
        <v>0</v>
      </c>
      <c r="R90">
        <v>1E-3</v>
      </c>
      <c r="S90">
        <v>321.8</v>
      </c>
      <c r="T90">
        <v>205</v>
      </c>
      <c r="U90">
        <v>404.2</v>
      </c>
      <c r="V90">
        <v>1.22</v>
      </c>
      <c r="W90">
        <v>4.8000000000000001E-2</v>
      </c>
      <c r="X90">
        <v>80</v>
      </c>
      <c r="Y90">
        <v>48.8</v>
      </c>
      <c r="Z90">
        <v>176.62691787115068</v>
      </c>
      <c r="AA90">
        <v>411.93847005008939</v>
      </c>
      <c r="AB90">
        <v>440.84608620911098</v>
      </c>
      <c r="AC90">
        <v>1.565388425606971</v>
      </c>
      <c r="AD90">
        <v>3.5756000000000001</v>
      </c>
      <c r="AE90">
        <v>8.3391999999999999</v>
      </c>
      <c r="AF90">
        <v>8.9244000000000003</v>
      </c>
      <c r="AG90">
        <v>3.532538357423014</v>
      </c>
      <c r="AH90">
        <v>8.2387694010017896</v>
      </c>
      <c r="AI90">
        <v>8.8169217241822189</v>
      </c>
      <c r="AJ90">
        <v>2.5</v>
      </c>
      <c r="AK90">
        <v>8.2073779113698536E-2</v>
      </c>
      <c r="AL90">
        <v>5.1740396993811286</v>
      </c>
      <c r="AM90">
        <v>6.0208739936579025</v>
      </c>
      <c r="AN90">
        <v>6.0886958036646863</v>
      </c>
      <c r="AO90">
        <v>2.0000000000000004E-2</v>
      </c>
      <c r="AP90">
        <v>2.0000000000000004E-2</v>
      </c>
      <c r="AQ90">
        <v>1.9999999999999997E-2</v>
      </c>
      <c r="AS90">
        <f t="shared" si="11"/>
        <v>1.0254664005271346</v>
      </c>
      <c r="AT90" s="1">
        <v>9.8442442509999993E-4</v>
      </c>
      <c r="AU90">
        <f t="shared" si="12"/>
        <v>1.5974084182187738</v>
      </c>
      <c r="AV90">
        <f t="shared" si="13"/>
        <v>4.4826886321587898E-2</v>
      </c>
      <c r="BK90">
        <f t="shared" si="14"/>
        <v>1.5704602716184892</v>
      </c>
      <c r="BL90">
        <f t="shared" si="15"/>
        <v>6.9437587753129582E-2</v>
      </c>
      <c r="BN90" s="1">
        <f t="shared" si="16"/>
        <v>1.5450032449334102E-3</v>
      </c>
      <c r="BO90">
        <f t="shared" si="17"/>
        <v>4.4800253372740087E-2</v>
      </c>
      <c r="BP90">
        <f t="shared" si="18"/>
        <v>-1.0687891767845553E-6</v>
      </c>
      <c r="BQ90">
        <f t="shared" si="19"/>
        <v>1.5998784136563008E-5</v>
      </c>
      <c r="BR90">
        <f t="shared" si="20"/>
        <v>7.1004096520347146E-3</v>
      </c>
      <c r="BS90">
        <f t="shared" si="21"/>
        <v>6.9073602183782626E-2</v>
      </c>
    </row>
    <row r="91" spans="1:71" x14ac:dyDescent="0.2">
      <c r="A91">
        <v>26093</v>
      </c>
      <c r="B91" t="s">
        <v>50</v>
      </c>
      <c r="C91" t="s">
        <v>140</v>
      </c>
      <c r="D91">
        <v>43.667000000000002</v>
      </c>
      <c r="E91">
        <v>-79.400000000000006</v>
      </c>
      <c r="F91">
        <v>75</v>
      </c>
      <c r="G91">
        <v>1011</v>
      </c>
      <c r="H91">
        <v>51.07</v>
      </c>
      <c r="I91">
        <v>16.5</v>
      </c>
      <c r="J91">
        <v>168.29</v>
      </c>
      <c r="K91">
        <v>403.15</v>
      </c>
      <c r="L91">
        <v>440.5</v>
      </c>
      <c r="M91">
        <v>528.70000000000005</v>
      </c>
      <c r="N91">
        <v>1378.63</v>
      </c>
      <c r="O91">
        <v>0.41739999999999999</v>
      </c>
      <c r="P91">
        <v>0.91520000000000001</v>
      </c>
      <c r="Q91">
        <v>0</v>
      </c>
      <c r="R91">
        <v>0</v>
      </c>
      <c r="S91">
        <v>322.5</v>
      </c>
      <c r="T91">
        <v>212.1</v>
      </c>
      <c r="U91">
        <v>400.5</v>
      </c>
      <c r="V91">
        <v>1.26</v>
      </c>
      <c r="W91">
        <v>0.04</v>
      </c>
      <c r="X91">
        <v>80</v>
      </c>
      <c r="Y91">
        <v>50.6</v>
      </c>
      <c r="Z91">
        <v>166.26325097066757</v>
      </c>
      <c r="AA91">
        <v>398.29478655193196</v>
      </c>
      <c r="AB91">
        <v>435.1949732757684</v>
      </c>
      <c r="AC91">
        <v>1.5891717009337458</v>
      </c>
      <c r="AD91">
        <v>3.3658000000000001</v>
      </c>
      <c r="AE91">
        <v>8.0629999999999988</v>
      </c>
      <c r="AF91">
        <v>8.81</v>
      </c>
      <c r="AG91">
        <v>3.3252650194133517</v>
      </c>
      <c r="AH91">
        <v>7.9658957310386382</v>
      </c>
      <c r="AI91">
        <v>8.7038994655153683</v>
      </c>
      <c r="AJ91">
        <v>2.5</v>
      </c>
      <c r="AK91">
        <v>8.5442773019515986E-2</v>
      </c>
      <c r="AL91">
        <v>5.1135723814464038</v>
      </c>
      <c r="AM91">
        <v>5.9871924008524529</v>
      </c>
      <c r="AN91">
        <v>6.0757941450976567</v>
      </c>
      <c r="AO91">
        <v>0.02</v>
      </c>
      <c r="AP91">
        <v>1.9999999999999997E-2</v>
      </c>
      <c r="AQ91">
        <v>0.02</v>
      </c>
      <c r="AS91">
        <f t="shared" si="11"/>
        <v>1.0254664005271346</v>
      </c>
      <c r="AT91" s="1">
        <v>9.8442442509999993E-4</v>
      </c>
      <c r="AU91">
        <f t="shared" si="12"/>
        <v>1.6234142155108771</v>
      </c>
      <c r="AV91">
        <f t="shared" si="13"/>
        <v>4.6817731796486566E-2</v>
      </c>
      <c r="BK91">
        <f t="shared" si="14"/>
        <v>1.5945955860385275</v>
      </c>
      <c r="BL91">
        <f t="shared" si="15"/>
        <v>7.2290332859765064E-2</v>
      </c>
      <c r="BN91" s="1">
        <f t="shared" si="16"/>
        <v>1.6382196876928536E-3</v>
      </c>
      <c r="BO91">
        <f t="shared" si="17"/>
        <v>4.6789061187660137E-2</v>
      </c>
      <c r="BP91">
        <f t="shared" si="18"/>
        <v>-1.142974310132569E-6</v>
      </c>
      <c r="BQ91">
        <f t="shared" si="19"/>
        <v>1.7109266877553804E-5</v>
      </c>
      <c r="BR91">
        <f t="shared" si="20"/>
        <v>7.4157520633784304E-3</v>
      </c>
      <c r="BS91">
        <f t="shared" si="21"/>
        <v>7.1908960166843769E-2</v>
      </c>
    </row>
    <row r="92" spans="1:71" x14ac:dyDescent="0.2">
      <c r="A92">
        <v>26093</v>
      </c>
      <c r="B92" t="s">
        <v>50</v>
      </c>
      <c r="C92" t="s">
        <v>141</v>
      </c>
      <c r="D92">
        <v>43.667000000000002</v>
      </c>
      <c r="E92">
        <v>-79.400000000000006</v>
      </c>
      <c r="F92">
        <v>75</v>
      </c>
      <c r="G92">
        <v>1010</v>
      </c>
      <c r="H92">
        <v>51.12</v>
      </c>
      <c r="I92">
        <v>16.5</v>
      </c>
      <c r="J92">
        <v>168.58</v>
      </c>
      <c r="K92">
        <v>403.78</v>
      </c>
      <c r="L92">
        <v>438.42</v>
      </c>
      <c r="M92">
        <v>536.26</v>
      </c>
      <c r="N92">
        <v>1380.09</v>
      </c>
      <c r="O92">
        <v>0.41749999999999998</v>
      </c>
      <c r="P92">
        <v>0.92100000000000004</v>
      </c>
      <c r="Q92">
        <v>6.0000000000000001E-3</v>
      </c>
      <c r="R92">
        <v>3.0000000000000001E-3</v>
      </c>
      <c r="S92">
        <v>322.10000000000002</v>
      </c>
      <c r="T92">
        <v>208.4</v>
      </c>
      <c r="U92">
        <v>402.4</v>
      </c>
      <c r="V92">
        <v>1.24</v>
      </c>
      <c r="W92">
        <v>3.9E-2</v>
      </c>
      <c r="X92">
        <v>80</v>
      </c>
      <c r="Y92">
        <v>50</v>
      </c>
      <c r="Z92">
        <v>166.54975844456084</v>
      </c>
      <c r="AA92">
        <v>398.91719934004487</v>
      </c>
      <c r="AB92">
        <v>433.14002311818933</v>
      </c>
      <c r="AC92">
        <v>1.5908830042072415</v>
      </c>
      <c r="AD92">
        <v>3.3716000000000004</v>
      </c>
      <c r="AE92">
        <v>8.0755999999999997</v>
      </c>
      <c r="AF92">
        <v>8.7683999999999997</v>
      </c>
      <c r="AG92">
        <v>3.3309951688912167</v>
      </c>
      <c r="AH92">
        <v>7.9783439868008976</v>
      </c>
      <c r="AI92">
        <v>8.6628004623637853</v>
      </c>
      <c r="AJ92">
        <v>2.5</v>
      </c>
      <c r="AK92">
        <v>8.5686800667633595E-2</v>
      </c>
      <c r="AL92">
        <v>5.1152941142907586</v>
      </c>
      <c r="AM92">
        <v>5.9887538749034999</v>
      </c>
      <c r="AN92">
        <v>6.0710610547526036</v>
      </c>
      <c r="AO92">
        <v>0.02</v>
      </c>
      <c r="AP92">
        <v>0.02</v>
      </c>
      <c r="AQ92">
        <v>1.9999999999999997E-2</v>
      </c>
      <c r="AS92">
        <f t="shared" si="11"/>
        <v>1.0254664005271346</v>
      </c>
      <c r="AT92" s="1">
        <v>9.8442442509999993E-4</v>
      </c>
      <c r="AU92">
        <f t="shared" si="12"/>
        <v>1.6252886671495654</v>
      </c>
      <c r="AV92">
        <f t="shared" si="13"/>
        <v>4.6962443813060098E-2</v>
      </c>
      <c r="BK92">
        <f t="shared" si="14"/>
        <v>1.5963327313974764</v>
      </c>
      <c r="BL92">
        <f t="shared" si="15"/>
        <v>7.2496975409895414E-2</v>
      </c>
      <c r="BN92" s="1">
        <f t="shared" si="16"/>
        <v>1.645059052077502E-3</v>
      </c>
      <c r="BO92">
        <f t="shared" si="17"/>
        <v>4.6933622378951372E-2</v>
      </c>
      <c r="BP92">
        <f t="shared" si="18"/>
        <v>-1.1484200080451846E-6</v>
      </c>
      <c r="BQ92">
        <f t="shared" si="19"/>
        <v>1.7190783931870339E-5</v>
      </c>
      <c r="BR92">
        <f t="shared" si="20"/>
        <v>7.4386739007746916E-3</v>
      </c>
      <c r="BS92">
        <f t="shared" si="21"/>
        <v>7.2114334756267384E-2</v>
      </c>
    </row>
    <row r="93" spans="1:71" x14ac:dyDescent="0.2">
      <c r="A93">
        <v>26093</v>
      </c>
      <c r="B93" t="s">
        <v>50</v>
      </c>
      <c r="C93" t="s">
        <v>142</v>
      </c>
      <c r="D93">
        <v>43.667000000000002</v>
      </c>
      <c r="E93">
        <v>-79.400000000000006</v>
      </c>
      <c r="F93">
        <v>75</v>
      </c>
      <c r="G93">
        <v>1010</v>
      </c>
      <c r="H93">
        <v>51.15</v>
      </c>
      <c r="I93">
        <v>16.5</v>
      </c>
      <c r="J93">
        <v>166.71</v>
      </c>
      <c r="K93">
        <v>396.73</v>
      </c>
      <c r="L93">
        <v>435.75</v>
      </c>
      <c r="M93">
        <v>525.37</v>
      </c>
      <c r="N93">
        <v>1361.61</v>
      </c>
      <c r="O93">
        <v>0.42020000000000002</v>
      </c>
      <c r="P93">
        <v>0.91049999999999998</v>
      </c>
      <c r="Q93">
        <v>1.2999999999999999E-2</v>
      </c>
      <c r="R93">
        <v>5.0000000000000001E-3</v>
      </c>
      <c r="S93">
        <v>320.39999999999998</v>
      </c>
      <c r="T93">
        <v>214.5</v>
      </c>
      <c r="U93">
        <v>395.2</v>
      </c>
      <c r="V93">
        <v>1.24</v>
      </c>
      <c r="W93">
        <v>4.8000000000000001E-2</v>
      </c>
      <c r="X93">
        <v>80</v>
      </c>
      <c r="Y93">
        <v>50.6</v>
      </c>
      <c r="Z93">
        <v>164.70227921635268</v>
      </c>
      <c r="AA93">
        <v>391.95210385401953</v>
      </c>
      <c r="AB93">
        <v>430.50217844475844</v>
      </c>
      <c r="AC93">
        <v>1.5919121320949907</v>
      </c>
      <c r="AD93">
        <v>3.3342000000000001</v>
      </c>
      <c r="AE93">
        <v>7.9346000000000005</v>
      </c>
      <c r="AF93">
        <v>8.7149999999999999</v>
      </c>
      <c r="AG93">
        <v>3.2940455843270535</v>
      </c>
      <c r="AH93">
        <v>7.839042077080391</v>
      </c>
      <c r="AI93">
        <v>8.6100435688951684</v>
      </c>
      <c r="AJ93">
        <v>2.5</v>
      </c>
      <c r="AK93">
        <v>8.5833656730888469E-2</v>
      </c>
      <c r="AL93">
        <v>5.1041394756813618</v>
      </c>
      <c r="AM93">
        <v>5.9711396482795154</v>
      </c>
      <c r="AN93">
        <v>6.0649523841215522</v>
      </c>
      <c r="AO93">
        <v>0.02</v>
      </c>
      <c r="AP93">
        <v>0.02</v>
      </c>
      <c r="AQ93">
        <v>0.02</v>
      </c>
      <c r="AS93">
        <f t="shared" si="11"/>
        <v>1.0254664005271346</v>
      </c>
      <c r="AT93" s="1">
        <v>9.8442442509999993E-4</v>
      </c>
      <c r="AU93">
        <f t="shared" si="12"/>
        <v>1.6264161180061181</v>
      </c>
      <c r="AV93">
        <f t="shared" si="13"/>
        <v>4.7049564839583238E-2</v>
      </c>
      <c r="BK93">
        <f t="shared" si="14"/>
        <v>1.5973774332724908</v>
      </c>
      <c r="BL93">
        <f t="shared" si="15"/>
        <v>7.2621333646356284E-2</v>
      </c>
      <c r="BN93" s="1">
        <f t="shared" si="16"/>
        <v>1.649180670403258E-3</v>
      </c>
      <c r="BO93">
        <f t="shared" si="17"/>
        <v>4.7020652427529286E-2</v>
      </c>
      <c r="BP93">
        <f t="shared" si="18"/>
        <v>-1.1517019115159455E-6</v>
      </c>
      <c r="BQ93">
        <f t="shared" si="19"/>
        <v>1.7239910987351668E-5</v>
      </c>
      <c r="BR93">
        <f t="shared" si="20"/>
        <v>7.4524735426499339E-3</v>
      </c>
      <c r="BS93">
        <f t="shared" si="21"/>
        <v>7.2237929373221613E-2</v>
      </c>
    </row>
    <row r="94" spans="1:71" x14ac:dyDescent="0.2">
      <c r="A94">
        <v>26093</v>
      </c>
      <c r="B94" t="s">
        <v>50</v>
      </c>
      <c r="C94" t="s">
        <v>143</v>
      </c>
      <c r="D94">
        <v>43.667000000000002</v>
      </c>
      <c r="E94">
        <v>-79.400000000000006</v>
      </c>
      <c r="F94">
        <v>75</v>
      </c>
      <c r="G94">
        <v>1011</v>
      </c>
      <c r="H94">
        <v>51.19</v>
      </c>
      <c r="I94">
        <v>16.5</v>
      </c>
      <c r="J94">
        <v>167.69</v>
      </c>
      <c r="K94">
        <v>400.5</v>
      </c>
      <c r="L94">
        <v>435.79</v>
      </c>
      <c r="M94">
        <v>535.46</v>
      </c>
      <c r="N94">
        <v>1389.33</v>
      </c>
      <c r="O94">
        <v>0.41870000000000002</v>
      </c>
      <c r="P94">
        <v>0.91900000000000004</v>
      </c>
      <c r="Q94">
        <v>1E-3</v>
      </c>
      <c r="R94">
        <v>0</v>
      </c>
      <c r="S94">
        <v>320.89999999999998</v>
      </c>
      <c r="T94">
        <v>209.1</v>
      </c>
      <c r="U94">
        <v>399.9</v>
      </c>
      <c r="V94">
        <v>1.25</v>
      </c>
      <c r="W94">
        <v>3.5000000000000003E-2</v>
      </c>
      <c r="X94">
        <v>80</v>
      </c>
      <c r="Y94">
        <v>49.7</v>
      </c>
      <c r="Z94">
        <v>165.67047688675052</v>
      </c>
      <c r="AA94">
        <v>395.67670101463165</v>
      </c>
      <c r="AB94">
        <v>430.54169671701959</v>
      </c>
      <c r="AC94">
        <v>1.5932870477429295</v>
      </c>
      <c r="AD94">
        <v>3.3538000000000001</v>
      </c>
      <c r="AE94">
        <v>8.01</v>
      </c>
      <c r="AF94">
        <v>8.7157999999999998</v>
      </c>
      <c r="AG94">
        <v>3.3134095377350108</v>
      </c>
      <c r="AH94">
        <v>7.9135340202926328</v>
      </c>
      <c r="AI94">
        <v>8.6108339343403912</v>
      </c>
      <c r="AJ94">
        <v>2.5</v>
      </c>
      <c r="AK94">
        <v>8.6029979646723986E-2</v>
      </c>
      <c r="AL94">
        <v>5.1100007364804405</v>
      </c>
      <c r="AM94">
        <v>5.9805974662298365</v>
      </c>
      <c r="AN94">
        <v>6.0650441756630267</v>
      </c>
      <c r="AO94">
        <v>2.0000000000000004E-2</v>
      </c>
      <c r="AP94">
        <v>0.02</v>
      </c>
      <c r="AQ94">
        <v>1.9999999999999997E-2</v>
      </c>
      <c r="AS94">
        <f t="shared" si="11"/>
        <v>1.0254664005271346</v>
      </c>
      <c r="AT94" s="1">
        <v>9.8442442509999993E-4</v>
      </c>
      <c r="AU94">
        <f t="shared" si="12"/>
        <v>1.6279226399763209</v>
      </c>
      <c r="AV94">
        <f t="shared" si="13"/>
        <v>4.7166070615259313E-2</v>
      </c>
      <c r="BK94">
        <f t="shared" si="14"/>
        <v>1.5987731948652979</v>
      </c>
      <c r="BL94">
        <f t="shared" si="15"/>
        <v>7.2787581246732E-2</v>
      </c>
      <c r="BN94" s="1">
        <f t="shared" si="16"/>
        <v>1.6546972789887543E-3</v>
      </c>
      <c r="BO94">
        <f t="shared" si="17"/>
        <v>4.7137036332363276E-2</v>
      </c>
      <c r="BP94">
        <f t="shared" si="18"/>
        <v>-1.1560947736423532E-6</v>
      </c>
      <c r="BQ94">
        <f t="shared" si="19"/>
        <v>1.7305668065013619E-5</v>
      </c>
      <c r="BR94">
        <f t="shared" si="20"/>
        <v>7.470927617916138E-3</v>
      </c>
      <c r="BS94">
        <f t="shared" si="21"/>
        <v>7.2403155479956585E-2</v>
      </c>
    </row>
    <row r="95" spans="1:71" x14ac:dyDescent="0.2">
      <c r="A95">
        <v>26093</v>
      </c>
      <c r="B95" t="s">
        <v>50</v>
      </c>
      <c r="C95" t="s">
        <v>144</v>
      </c>
      <c r="D95">
        <v>43.667000000000002</v>
      </c>
      <c r="E95">
        <v>-79.400000000000006</v>
      </c>
      <c r="F95">
        <v>75</v>
      </c>
      <c r="G95">
        <v>1011</v>
      </c>
      <c r="H95">
        <v>51.22</v>
      </c>
      <c r="I95">
        <v>16.5</v>
      </c>
      <c r="J95">
        <v>165.18</v>
      </c>
      <c r="K95">
        <v>396.92</v>
      </c>
      <c r="L95">
        <v>434.57</v>
      </c>
      <c r="M95">
        <v>527.32000000000005</v>
      </c>
      <c r="N95">
        <v>1365.64</v>
      </c>
      <c r="O95">
        <v>0.41610000000000003</v>
      </c>
      <c r="P95">
        <v>0.91339999999999999</v>
      </c>
      <c r="Q95">
        <v>0</v>
      </c>
      <c r="R95">
        <v>1E-3</v>
      </c>
      <c r="S95">
        <v>322.10000000000002</v>
      </c>
      <c r="T95">
        <v>212.3</v>
      </c>
      <c r="U95">
        <v>399.6</v>
      </c>
      <c r="V95">
        <v>1.24</v>
      </c>
      <c r="W95">
        <v>4.5999999999999999E-2</v>
      </c>
      <c r="X95">
        <v>80</v>
      </c>
      <c r="Y95">
        <v>49.8</v>
      </c>
      <c r="Z95">
        <v>163.19070530236419</v>
      </c>
      <c r="AA95">
        <v>392.13981564725992</v>
      </c>
      <c r="AB95">
        <v>429.33638941305486</v>
      </c>
      <c r="AC95">
        <v>1.5943202984844373</v>
      </c>
      <c r="AD95">
        <v>3.3036000000000003</v>
      </c>
      <c r="AE95">
        <v>7.9384000000000006</v>
      </c>
      <c r="AF95">
        <v>8.6913999999999998</v>
      </c>
      <c r="AG95">
        <v>3.2638141060472843</v>
      </c>
      <c r="AH95">
        <v>7.8427963129451994</v>
      </c>
      <c r="AI95">
        <v>8.5867277882610971</v>
      </c>
      <c r="AJ95">
        <v>2.5</v>
      </c>
      <c r="AK95">
        <v>8.6177609283132603E-2</v>
      </c>
      <c r="AL95">
        <v>5.0949194881039928</v>
      </c>
      <c r="AM95">
        <v>5.9716184487674626</v>
      </c>
      <c r="AN95">
        <v>6.0622407361689641</v>
      </c>
      <c r="AO95">
        <v>2.0000000000000004E-2</v>
      </c>
      <c r="AP95">
        <v>2.0000000000000004E-2</v>
      </c>
      <c r="AQ95">
        <v>0.02</v>
      </c>
      <c r="AS95">
        <f t="shared" si="11"/>
        <v>1.0254664005271346</v>
      </c>
      <c r="AT95" s="1">
        <v>9.8442442509999993E-4</v>
      </c>
      <c r="AU95">
        <f t="shared" si="12"/>
        <v>1.6290549789654158</v>
      </c>
      <c r="AV95">
        <f t="shared" si="13"/>
        <v>4.7253709271043262E-2</v>
      </c>
      <c r="BK95">
        <f t="shared" si="14"/>
        <v>1.5998221408113424</v>
      </c>
      <c r="BL95">
        <f t="shared" si="15"/>
        <v>7.2912595537648978E-2</v>
      </c>
      <c r="BN95" s="1">
        <f t="shared" si="16"/>
        <v>1.6588506476616434E-3</v>
      </c>
      <c r="BO95">
        <f t="shared" si="17"/>
        <v>4.7224583157514821E-2</v>
      </c>
      <c r="BP95">
        <f t="shared" si="18"/>
        <v>-1.1594022212064911E-6</v>
      </c>
      <c r="BQ95">
        <f t="shared" si="19"/>
        <v>1.7355177491915607E-5</v>
      </c>
      <c r="BR95">
        <f t="shared" si="20"/>
        <v>7.4848092503131671E-3</v>
      </c>
      <c r="BS95">
        <f t="shared" si="21"/>
        <v>7.2527401138995848E-2</v>
      </c>
    </row>
    <row r="96" spans="1:71" x14ac:dyDescent="0.2">
      <c r="A96">
        <v>26093</v>
      </c>
      <c r="B96" t="s">
        <v>50</v>
      </c>
      <c r="C96" t="s">
        <v>145</v>
      </c>
      <c r="D96">
        <v>43.667000000000002</v>
      </c>
      <c r="E96">
        <v>-79.400000000000006</v>
      </c>
      <c r="F96">
        <v>75</v>
      </c>
      <c r="G96">
        <v>1011</v>
      </c>
      <c r="H96">
        <v>51.26</v>
      </c>
      <c r="I96">
        <v>16.5</v>
      </c>
      <c r="J96">
        <v>165</v>
      </c>
      <c r="K96">
        <v>392.08</v>
      </c>
      <c r="L96">
        <v>430.64</v>
      </c>
      <c r="M96">
        <v>519.82000000000005</v>
      </c>
      <c r="N96">
        <v>1345.38</v>
      </c>
      <c r="O96">
        <v>0.42080000000000001</v>
      </c>
      <c r="P96">
        <v>0.91049999999999998</v>
      </c>
      <c r="Q96">
        <v>1.2E-2</v>
      </c>
      <c r="R96">
        <v>0</v>
      </c>
      <c r="S96">
        <v>319.3</v>
      </c>
      <c r="T96">
        <v>213.8</v>
      </c>
      <c r="U96">
        <v>393.7</v>
      </c>
      <c r="V96">
        <v>1.23</v>
      </c>
      <c r="W96">
        <v>5.5E-2</v>
      </c>
      <c r="X96">
        <v>80</v>
      </c>
      <c r="Y96">
        <v>49.5</v>
      </c>
      <c r="Z96">
        <v>163.01287307718908</v>
      </c>
      <c r="AA96">
        <v>387.35810470366238</v>
      </c>
      <c r="AB96">
        <v>425.4537191633982</v>
      </c>
      <c r="AC96">
        <v>1.5957007257385847</v>
      </c>
      <c r="AD96">
        <v>3.3000000000000003</v>
      </c>
      <c r="AE96">
        <v>7.8415999999999997</v>
      </c>
      <c r="AF96">
        <v>8.6128</v>
      </c>
      <c r="AG96">
        <v>3.2602574615437816</v>
      </c>
      <c r="AH96">
        <v>7.7471620940732473</v>
      </c>
      <c r="AI96">
        <v>8.5090743832679649</v>
      </c>
      <c r="AJ96">
        <v>2.5</v>
      </c>
      <c r="AK96">
        <v>8.6374967351058679E-2</v>
      </c>
      <c r="AL96">
        <v>5.0938291736220025</v>
      </c>
      <c r="AM96">
        <v>5.9593496003227147</v>
      </c>
      <c r="AN96">
        <v>6.0531561739741244</v>
      </c>
      <c r="AO96">
        <v>0.02</v>
      </c>
      <c r="AP96">
        <v>0.02</v>
      </c>
      <c r="AQ96">
        <v>0.02</v>
      </c>
      <c r="AS96">
        <f t="shared" si="11"/>
        <v>1.0254664005271346</v>
      </c>
      <c r="AT96" s="1">
        <v>9.8442442509999993E-4</v>
      </c>
      <c r="AU96">
        <f t="shared" si="12"/>
        <v>1.6305680377804892</v>
      </c>
      <c r="AV96">
        <f t="shared" si="13"/>
        <v>4.7370908079525917E-2</v>
      </c>
      <c r="BK96">
        <f t="shared" si="14"/>
        <v>1.6012235764042937</v>
      </c>
      <c r="BL96">
        <f t="shared" si="15"/>
        <v>7.3079721039769827E-2</v>
      </c>
      <c r="BN96" s="1">
        <f t="shared" si="16"/>
        <v>1.6644097982289655E-3</v>
      </c>
      <c r="BO96">
        <f t="shared" si="17"/>
        <v>4.7341658951735657E-2</v>
      </c>
      <c r="BP96">
        <f t="shared" si="18"/>
        <v>-1.16382930457707E-6</v>
      </c>
      <c r="BQ96">
        <f t="shared" si="19"/>
        <v>1.7421446829909415E-5</v>
      </c>
      <c r="BR96">
        <f t="shared" si="20"/>
        <v>7.5033730993609741E-3</v>
      </c>
      <c r="BS96">
        <f t="shared" si="21"/>
        <v>7.2693498433636095E-2</v>
      </c>
    </row>
    <row r="97" spans="1:71" x14ac:dyDescent="0.2">
      <c r="A97">
        <v>26093</v>
      </c>
      <c r="B97" t="s">
        <v>50</v>
      </c>
      <c r="C97" t="s">
        <v>146</v>
      </c>
      <c r="D97">
        <v>43.667000000000002</v>
      </c>
      <c r="E97">
        <v>-79.400000000000006</v>
      </c>
      <c r="F97">
        <v>75</v>
      </c>
      <c r="G97">
        <v>1011</v>
      </c>
      <c r="H97">
        <v>51.29</v>
      </c>
      <c r="I97">
        <v>16.5</v>
      </c>
      <c r="J97">
        <v>162.36000000000001</v>
      </c>
      <c r="K97">
        <v>393.36</v>
      </c>
      <c r="L97">
        <v>431.76</v>
      </c>
      <c r="M97">
        <v>509.75</v>
      </c>
      <c r="N97">
        <v>1350.5</v>
      </c>
      <c r="O97">
        <v>0.41270000000000001</v>
      </c>
      <c r="P97">
        <v>0.91110000000000002</v>
      </c>
      <c r="Q97">
        <v>1.0999999999999999E-2</v>
      </c>
      <c r="R97">
        <v>1E-3</v>
      </c>
      <c r="S97">
        <v>323.39999999999998</v>
      </c>
      <c r="T97">
        <v>213.2</v>
      </c>
      <c r="U97">
        <v>401.2</v>
      </c>
      <c r="V97">
        <v>1.28</v>
      </c>
      <c r="W97">
        <v>5.2999999999999999E-2</v>
      </c>
      <c r="X97">
        <v>80</v>
      </c>
      <c r="Y97">
        <v>49.3</v>
      </c>
      <c r="Z97">
        <v>160.40466710795405</v>
      </c>
      <c r="AA97">
        <v>388.62268941601877</v>
      </c>
      <c r="AB97">
        <v>426.56023078671001</v>
      </c>
      <c r="AC97">
        <v>1.5967381210729399</v>
      </c>
      <c r="AD97">
        <v>3.2472000000000003</v>
      </c>
      <c r="AE97">
        <v>7.8672000000000004</v>
      </c>
      <c r="AF97">
        <v>8.6351999999999993</v>
      </c>
      <c r="AG97">
        <v>3.2080933421590814</v>
      </c>
      <c r="AH97">
        <v>7.7724537883203757</v>
      </c>
      <c r="AI97">
        <v>8.5312046157342003</v>
      </c>
      <c r="AJ97">
        <v>2.5</v>
      </c>
      <c r="AK97">
        <v>8.6523376154303513E-2</v>
      </c>
      <c r="AL97">
        <v>5.0776997916921189</v>
      </c>
      <c r="AM97">
        <v>5.9626089228251065</v>
      </c>
      <c r="AN97">
        <v>6.0557535780318092</v>
      </c>
      <c r="AO97">
        <v>0.02</v>
      </c>
      <c r="AP97">
        <v>0.02</v>
      </c>
      <c r="AQ97">
        <v>0.02</v>
      </c>
      <c r="AS97">
        <f t="shared" si="11"/>
        <v>1.0254664005271346</v>
      </c>
      <c r="AT97" s="1">
        <v>9.8442442509999993E-4</v>
      </c>
      <c r="AU97">
        <f t="shared" si="12"/>
        <v>1.6317052939615693</v>
      </c>
      <c r="AV97">
        <f t="shared" si="13"/>
        <v>4.7459068665981527E-2</v>
      </c>
      <c r="BK97">
        <f t="shared" si="14"/>
        <v>1.6022767893199741</v>
      </c>
      <c r="BL97">
        <f t="shared" si="15"/>
        <v>7.3205396138952591E-2</v>
      </c>
      <c r="BN97" s="1">
        <f t="shared" si="16"/>
        <v>1.6685952304148594E-3</v>
      </c>
      <c r="BO97">
        <f t="shared" si="17"/>
        <v>4.7429726845085105E-2</v>
      </c>
      <c r="BP97">
        <f t="shared" si="18"/>
        <v>-1.1671625405792777E-6</v>
      </c>
      <c r="BQ97">
        <f t="shared" si="19"/>
        <v>1.7471342285845798E-5</v>
      </c>
      <c r="BR97">
        <f t="shared" si="20"/>
        <v>7.5173374036070408E-3</v>
      </c>
      <c r="BS97">
        <f t="shared" si="21"/>
        <v>7.2818399842424691E-2</v>
      </c>
    </row>
    <row r="98" spans="1:71" x14ac:dyDescent="0.2">
      <c r="A98">
        <v>26093</v>
      </c>
      <c r="B98" t="s">
        <v>50</v>
      </c>
      <c r="C98" t="s">
        <v>147</v>
      </c>
      <c r="D98">
        <v>43.667000000000002</v>
      </c>
      <c r="E98">
        <v>-79.400000000000006</v>
      </c>
      <c r="F98">
        <v>75</v>
      </c>
      <c r="G98">
        <v>1011</v>
      </c>
      <c r="H98">
        <v>51.33</v>
      </c>
      <c r="I98">
        <v>16.5</v>
      </c>
      <c r="J98">
        <v>156.93</v>
      </c>
      <c r="K98">
        <v>381.45</v>
      </c>
      <c r="L98">
        <v>425.42</v>
      </c>
      <c r="M98">
        <v>498.69</v>
      </c>
      <c r="N98">
        <v>1318.81</v>
      </c>
      <c r="O98">
        <v>0.41139999999999999</v>
      </c>
      <c r="P98">
        <v>0.89659999999999995</v>
      </c>
      <c r="Q98">
        <v>6.0000000000000001E-3</v>
      </c>
      <c r="R98">
        <v>1E-3</v>
      </c>
      <c r="S98">
        <v>323.89999999999998</v>
      </c>
      <c r="T98">
        <v>221.7</v>
      </c>
      <c r="U98">
        <v>396</v>
      </c>
      <c r="V98">
        <v>1.27</v>
      </c>
      <c r="W98">
        <v>6.7000000000000004E-2</v>
      </c>
      <c r="X98">
        <v>80</v>
      </c>
      <c r="Y98">
        <v>49.6</v>
      </c>
      <c r="Z98">
        <v>155.04006164850475</v>
      </c>
      <c r="AA98">
        <v>376.85612385026531</v>
      </c>
      <c r="AB98">
        <v>420.29658463331987</v>
      </c>
      <c r="AC98">
        <v>1.5981240890234145</v>
      </c>
      <c r="AD98">
        <v>3.1386000000000003</v>
      </c>
      <c r="AE98">
        <v>7.6289999999999996</v>
      </c>
      <c r="AF98">
        <v>8.5084</v>
      </c>
      <c r="AG98">
        <v>3.1008012329700949</v>
      </c>
      <c r="AH98">
        <v>7.5371224770053056</v>
      </c>
      <c r="AI98">
        <v>8.4059316926663978</v>
      </c>
      <c r="AJ98">
        <v>2.5</v>
      </c>
      <c r="AK98">
        <v>8.6721776865847977E-2</v>
      </c>
      <c r="AL98">
        <v>5.0436835457720512</v>
      </c>
      <c r="AM98">
        <v>5.9318634802576602</v>
      </c>
      <c r="AN98">
        <v>6.0409606159569265</v>
      </c>
      <c r="AO98">
        <v>0.02</v>
      </c>
      <c r="AP98">
        <v>1.9999999999999997E-2</v>
      </c>
      <c r="AQ98">
        <v>0.02</v>
      </c>
      <c r="AS98">
        <f t="shared" si="11"/>
        <v>1.0254664005271346</v>
      </c>
      <c r="AT98" s="1">
        <v>9.8442442509999993E-4</v>
      </c>
      <c r="AU98">
        <f t="shared" si="12"/>
        <v>1.6332249285280993</v>
      </c>
      <c r="AV98">
        <f t="shared" si="13"/>
        <v>4.7576966272609593E-2</v>
      </c>
      <c r="BK98">
        <f t="shared" si="14"/>
        <v>1.6036839295580794</v>
      </c>
      <c r="BL98">
        <f t="shared" si="15"/>
        <v>7.3373405909602882E-2</v>
      </c>
      <c r="BN98" s="1">
        <f t="shared" si="16"/>
        <v>1.6741973430124092E-3</v>
      </c>
      <c r="BO98">
        <f t="shared" si="17"/>
        <v>4.7547500280894696E-2</v>
      </c>
      <c r="BP98">
        <f t="shared" si="18"/>
        <v>-1.1716241728560061E-6</v>
      </c>
      <c r="BQ98">
        <f t="shared" si="19"/>
        <v>1.753812878896782E-5</v>
      </c>
      <c r="BR98">
        <f t="shared" si="20"/>
        <v>7.5360119396443688E-3</v>
      </c>
      <c r="BS98">
        <f t="shared" si="21"/>
        <v>7.2985374629868274E-2</v>
      </c>
    </row>
    <row r="99" spans="1:71" x14ac:dyDescent="0.2">
      <c r="A99">
        <v>26093</v>
      </c>
      <c r="B99" t="s">
        <v>50</v>
      </c>
      <c r="C99" t="s">
        <v>148</v>
      </c>
      <c r="D99">
        <v>43.667000000000002</v>
      </c>
      <c r="E99">
        <v>-79.400000000000006</v>
      </c>
      <c r="F99">
        <v>75</v>
      </c>
      <c r="G99">
        <v>1011</v>
      </c>
      <c r="H99">
        <v>51.37</v>
      </c>
      <c r="I99">
        <v>16.5</v>
      </c>
      <c r="J99">
        <v>163.99</v>
      </c>
      <c r="K99">
        <v>394.4</v>
      </c>
      <c r="L99">
        <v>429.84</v>
      </c>
      <c r="M99">
        <v>526.45000000000005</v>
      </c>
      <c r="N99">
        <v>1380.66</v>
      </c>
      <c r="O99">
        <v>0.4158</v>
      </c>
      <c r="P99">
        <v>0.91749999999999998</v>
      </c>
      <c r="Q99">
        <v>0</v>
      </c>
      <c r="R99">
        <v>1E-3</v>
      </c>
      <c r="S99">
        <v>321.10000000000002</v>
      </c>
      <c r="T99">
        <v>208.8</v>
      </c>
      <c r="U99">
        <v>400.4</v>
      </c>
      <c r="V99">
        <v>1.26</v>
      </c>
      <c r="W99">
        <v>3.9E-2</v>
      </c>
      <c r="X99">
        <v>80</v>
      </c>
      <c r="Y99">
        <v>49.5</v>
      </c>
      <c r="Z99">
        <v>162.01503670259538</v>
      </c>
      <c r="AA99">
        <v>389.65016449480828</v>
      </c>
      <c r="AB99">
        <v>424.66335371817547</v>
      </c>
      <c r="AC99">
        <v>1.5995132362279605</v>
      </c>
      <c r="AD99">
        <v>3.2798000000000003</v>
      </c>
      <c r="AE99">
        <v>7.8879999999999999</v>
      </c>
      <c r="AF99">
        <v>8.5968</v>
      </c>
      <c r="AG99">
        <v>3.2403007340519077</v>
      </c>
      <c r="AH99">
        <v>7.7930032898961663</v>
      </c>
      <c r="AI99">
        <v>8.4932670743635086</v>
      </c>
      <c r="AJ99">
        <v>2.5</v>
      </c>
      <c r="AK99">
        <v>8.6920776763080687E-2</v>
      </c>
      <c r="AL99">
        <v>5.0876891500767769</v>
      </c>
      <c r="AM99">
        <v>5.9652493224499024</v>
      </c>
      <c r="AN99">
        <v>6.051296746141988</v>
      </c>
      <c r="AO99">
        <v>0.02</v>
      </c>
      <c r="AP99">
        <v>0.02</v>
      </c>
      <c r="AQ99">
        <v>1.9999999999999997E-2</v>
      </c>
      <c r="AS99">
        <f t="shared" si="11"/>
        <v>1.0254664005271346</v>
      </c>
      <c r="AT99" s="1">
        <v>9.8442442509999993E-4</v>
      </c>
      <c r="AU99">
        <f t="shared" si="12"/>
        <v>1.6347483382596306</v>
      </c>
      <c r="AV99">
        <f t="shared" si="13"/>
        <v>4.7695265804357165E-2</v>
      </c>
      <c r="BK99">
        <f t="shared" si="14"/>
        <v>1.6050943434402991</v>
      </c>
      <c r="BL99">
        <f t="shared" si="15"/>
        <v>7.3541923857097263E-2</v>
      </c>
      <c r="BN99" s="1">
        <f t="shared" si="16"/>
        <v>1.6798241958713013E-3</v>
      </c>
      <c r="BO99">
        <f t="shared" si="17"/>
        <v>4.7665674974967542E-2</v>
      </c>
      <c r="BP99">
        <f t="shared" si="18"/>
        <v>-1.1761056959290872E-6</v>
      </c>
      <c r="BQ99">
        <f t="shared" si="19"/>
        <v>1.760521303888973E-5</v>
      </c>
      <c r="BR99">
        <f t="shared" si="20"/>
        <v>7.5547501391040779E-3</v>
      </c>
      <c r="BS99">
        <f t="shared" si="21"/>
        <v>7.3152853694247955E-2</v>
      </c>
    </row>
    <row r="100" spans="1:71" x14ac:dyDescent="0.2">
      <c r="A100">
        <v>26093</v>
      </c>
      <c r="B100" t="s">
        <v>50</v>
      </c>
      <c r="C100" t="s">
        <v>149</v>
      </c>
      <c r="D100">
        <v>43.667000000000002</v>
      </c>
      <c r="E100">
        <v>-79.400000000000006</v>
      </c>
      <c r="F100">
        <v>75</v>
      </c>
      <c r="G100">
        <v>1010</v>
      </c>
      <c r="H100">
        <v>51.41</v>
      </c>
      <c r="I100">
        <v>16.5</v>
      </c>
      <c r="J100">
        <v>161.51</v>
      </c>
      <c r="K100">
        <v>391.16</v>
      </c>
      <c r="L100">
        <v>425.65</v>
      </c>
      <c r="M100">
        <v>516.23</v>
      </c>
      <c r="N100">
        <v>1351.41</v>
      </c>
      <c r="O100">
        <v>0.41289999999999999</v>
      </c>
      <c r="P100">
        <v>0.91900000000000004</v>
      </c>
      <c r="Q100">
        <v>1E-3</v>
      </c>
      <c r="R100">
        <v>1.2E-2</v>
      </c>
      <c r="S100">
        <v>322.5</v>
      </c>
      <c r="T100">
        <v>207.8</v>
      </c>
      <c r="U100">
        <v>403.4</v>
      </c>
      <c r="V100">
        <v>1.25</v>
      </c>
      <c r="W100">
        <v>5.1999999999999998E-2</v>
      </c>
      <c r="X100">
        <v>80</v>
      </c>
      <c r="Y100">
        <v>49.5</v>
      </c>
      <c r="Z100">
        <v>159.56490382240489</v>
      </c>
      <c r="AA100">
        <v>386.44918444165626</v>
      </c>
      <c r="AB100">
        <v>420.52381469882135</v>
      </c>
      <c r="AC100">
        <v>1.6009055722937564</v>
      </c>
      <c r="AD100">
        <v>3.2302</v>
      </c>
      <c r="AE100">
        <v>7.8232000000000008</v>
      </c>
      <c r="AF100">
        <v>8.5129999999999999</v>
      </c>
      <c r="AG100">
        <v>3.1912980764480978</v>
      </c>
      <c r="AH100">
        <v>7.728983688833126</v>
      </c>
      <c r="AI100">
        <v>8.4104762939764282</v>
      </c>
      <c r="AJ100">
        <v>2.5</v>
      </c>
      <c r="AK100">
        <v>8.7120378326735998E-2</v>
      </c>
      <c r="AL100">
        <v>5.0724507599718436</v>
      </c>
      <c r="AM100">
        <v>5.9570003831654965</v>
      </c>
      <c r="AN100">
        <v>6.0415011120514883</v>
      </c>
      <c r="AO100">
        <v>0.02</v>
      </c>
      <c r="AP100">
        <v>2.0000000000000004E-2</v>
      </c>
      <c r="AQ100">
        <v>2.0000000000000004E-2</v>
      </c>
      <c r="AS100">
        <f t="shared" si="11"/>
        <v>1.0254664005271346</v>
      </c>
      <c r="AT100" s="1">
        <v>9.8442442509999993E-4</v>
      </c>
      <c r="AU100">
        <f t="shared" si="12"/>
        <v>1.6362755360269492</v>
      </c>
      <c r="AV100">
        <f t="shared" si="13"/>
        <v>4.7813969175092778E-2</v>
      </c>
      <c r="BK100">
        <f t="shared" si="14"/>
        <v>1.6065080410907546</v>
      </c>
      <c r="BL100">
        <f t="shared" si="15"/>
        <v>7.3710952089812529E-2</v>
      </c>
      <c r="BN100" s="1">
        <f t="shared" si="16"/>
        <v>1.6854759287454268E-3</v>
      </c>
      <c r="BO100">
        <f t="shared" si="17"/>
        <v>4.7784252836790719E-2</v>
      </c>
      <c r="BP100">
        <f t="shared" si="18"/>
        <v>-1.1806072187338438E-6</v>
      </c>
      <c r="BQ100">
        <f t="shared" si="19"/>
        <v>1.7672596666272433E-5</v>
      </c>
      <c r="BR100">
        <f t="shared" si="20"/>
        <v>7.5735523051357247E-3</v>
      </c>
      <c r="BS100">
        <f t="shared" si="21"/>
        <v>7.3320839123359086E-2</v>
      </c>
    </row>
    <row r="103" spans="1:71" x14ac:dyDescent="0.2">
      <c r="G103" t="s">
        <v>173</v>
      </c>
    </row>
    <row r="104" spans="1:71" x14ac:dyDescent="0.2">
      <c r="G104">
        <f>STDEV(G2:G100)</f>
        <v>1.1347112290287154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CA4A-19C1-4348-A02F-8127FC9FB4DA}">
  <dimension ref="A1:D100"/>
  <sheetViews>
    <sheetView workbookViewId="0">
      <selection sqref="A1:D100"/>
    </sheetView>
  </sheetViews>
  <sheetFormatPr baseColWidth="10" defaultRowHeight="16" x14ac:dyDescent="0.2"/>
  <sheetData>
    <row r="1" spans="1:4" x14ac:dyDescent="0.2">
      <c r="A1" t="s">
        <v>163</v>
      </c>
      <c r="B1" t="s">
        <v>172</v>
      </c>
      <c r="C1" t="s">
        <v>164</v>
      </c>
      <c r="D1" t="s">
        <v>47</v>
      </c>
    </row>
    <row r="2" spans="1:4" x14ac:dyDescent="0.2">
      <c r="A2">
        <v>3.3168811878411115</v>
      </c>
      <c r="B2">
        <v>4.1965980717589364</v>
      </c>
      <c r="C2">
        <v>0.36603047649586806</v>
      </c>
      <c r="D2">
        <v>0.02</v>
      </c>
    </row>
    <row r="3" spans="1:4" x14ac:dyDescent="0.2">
      <c r="A3">
        <v>3.1145196722474018</v>
      </c>
      <c r="B3">
        <v>4.4376857984758162</v>
      </c>
      <c r="C3">
        <v>0.3228966442731378</v>
      </c>
      <c r="D3">
        <v>2.0000000000000004E-2</v>
      </c>
    </row>
    <row r="4" spans="1:4" x14ac:dyDescent="0.2">
      <c r="A4">
        <v>3.0933301419096848</v>
      </c>
      <c r="B4">
        <v>4.4644247431123327</v>
      </c>
      <c r="C4">
        <v>0.31849819740374369</v>
      </c>
      <c r="D4">
        <v>0.02</v>
      </c>
    </row>
    <row r="5" spans="1:4" x14ac:dyDescent="0.2">
      <c r="A5">
        <v>2.8905962229017259</v>
      </c>
      <c r="B5">
        <v>4.6845385758316915</v>
      </c>
      <c r="C5">
        <v>0.27759514572489585</v>
      </c>
      <c r="D5">
        <v>0.02</v>
      </c>
    </row>
    <row r="6" spans="1:4" x14ac:dyDescent="0.2">
      <c r="A6">
        <v>2.8725955509317935</v>
      </c>
      <c r="B6">
        <v>4.6798735776620735</v>
      </c>
      <c r="C6">
        <v>0.27406891403348327</v>
      </c>
      <c r="D6">
        <v>0.02</v>
      </c>
    </row>
    <row r="7" spans="1:4" x14ac:dyDescent="0.2">
      <c r="A7">
        <v>2.6035935072111687</v>
      </c>
      <c r="B7">
        <v>4.9994518918662783</v>
      </c>
      <c r="C7">
        <v>0.22350850158582747</v>
      </c>
      <c r="D7">
        <v>0.02</v>
      </c>
    </row>
    <row r="8" spans="1:4" x14ac:dyDescent="0.2">
      <c r="A8">
        <v>2.598070033118185</v>
      </c>
      <c r="B8">
        <v>5.0083373027550158</v>
      </c>
      <c r="C8">
        <v>0.22251321354773854</v>
      </c>
      <c r="D8">
        <v>0.02</v>
      </c>
    </row>
    <row r="9" spans="1:4" x14ac:dyDescent="0.2">
      <c r="A9">
        <v>2.5936698977642232</v>
      </c>
      <c r="B9">
        <v>5.0135389605740635</v>
      </c>
      <c r="C9">
        <v>0.22172160190038756</v>
      </c>
      <c r="D9">
        <v>0.02</v>
      </c>
    </row>
    <row r="10" spans="1:4" x14ac:dyDescent="0.2">
      <c r="A10">
        <v>2.5892862343663299</v>
      </c>
      <c r="B10">
        <v>5.022040188859024</v>
      </c>
      <c r="C10">
        <v>0.22093406519275849</v>
      </c>
      <c r="D10">
        <v>2.0000000000000004E-2</v>
      </c>
    </row>
    <row r="11" spans="1:4" x14ac:dyDescent="0.2">
      <c r="A11">
        <v>2.5849189509935568</v>
      </c>
      <c r="B11">
        <v>4.978248256975319</v>
      </c>
      <c r="C11">
        <v>0.2201505753966726</v>
      </c>
      <c r="D11">
        <v>0.02</v>
      </c>
    </row>
    <row r="12" spans="1:4" x14ac:dyDescent="0.2">
      <c r="A12">
        <v>2.5805679564247503</v>
      </c>
      <c r="B12">
        <v>5.0392769862898454</v>
      </c>
      <c r="C12">
        <v>0.21937110472573862</v>
      </c>
      <c r="D12">
        <v>2.0000000000000004E-2</v>
      </c>
    </row>
    <row r="13" spans="1:4" x14ac:dyDescent="0.2">
      <c r="A13">
        <v>2.5762331601414035</v>
      </c>
      <c r="B13">
        <v>5.0296299888427303</v>
      </c>
      <c r="C13">
        <v>0.21859562563281965</v>
      </c>
      <c r="D13">
        <v>0.02</v>
      </c>
    </row>
    <row r="14" spans="1:4" x14ac:dyDescent="0.2">
      <c r="A14">
        <v>2.5708373068522121</v>
      </c>
      <c r="B14">
        <v>5.0390209371270078</v>
      </c>
      <c r="C14">
        <v>0.21763184833993227</v>
      </c>
      <c r="D14">
        <v>0.02</v>
      </c>
    </row>
    <row r="15" spans="1:4" x14ac:dyDescent="0.2">
      <c r="A15">
        <v>2.5676118038280262</v>
      </c>
      <c r="B15">
        <v>5.0308571017296231</v>
      </c>
      <c r="C15">
        <v>0.21705653317376794</v>
      </c>
      <c r="D15">
        <v>0.02</v>
      </c>
    </row>
    <row r="16" spans="1:4" x14ac:dyDescent="0.2">
      <c r="A16">
        <v>2.5622558607050108</v>
      </c>
      <c r="B16">
        <v>5.0327915877597738</v>
      </c>
      <c r="C16">
        <v>0.21610255693346753</v>
      </c>
      <c r="D16">
        <v>0.02</v>
      </c>
    </row>
    <row r="17" spans="1:4" x14ac:dyDescent="0.2">
      <c r="A17">
        <v>2.4718893843118388</v>
      </c>
      <c r="B17">
        <v>5.1400764247873223</v>
      </c>
      <c r="C17">
        <v>0.20025947834414368</v>
      </c>
      <c r="D17">
        <v>0.02</v>
      </c>
    </row>
    <row r="18" spans="1:4" x14ac:dyDescent="0.2">
      <c r="A18">
        <v>2.4659849863360668</v>
      </c>
      <c r="B18">
        <v>5.12820132162057</v>
      </c>
      <c r="C18">
        <v>0.19924101921768739</v>
      </c>
      <c r="D18">
        <v>0.02</v>
      </c>
    </row>
    <row r="19" spans="1:4" x14ac:dyDescent="0.2">
      <c r="A19">
        <v>2.4591361494311421</v>
      </c>
      <c r="B19">
        <v>5.1422152157410776</v>
      </c>
      <c r="C19">
        <v>0.1980622344656551</v>
      </c>
      <c r="D19">
        <v>1.9999999999999997E-2</v>
      </c>
    </row>
    <row r="20" spans="1:4" x14ac:dyDescent="0.2">
      <c r="A20">
        <v>2.3007293625258325</v>
      </c>
      <c r="B20">
        <v>5.3192972937586482</v>
      </c>
      <c r="C20">
        <v>0.17157931248251226</v>
      </c>
      <c r="D20">
        <v>0.02</v>
      </c>
    </row>
    <row r="21" spans="1:4" x14ac:dyDescent="0.2">
      <c r="A21">
        <v>2.2965382609714817</v>
      </c>
      <c r="B21">
        <v>5.3330369411064904</v>
      </c>
      <c r="C21">
        <v>0.17089914658945013</v>
      </c>
      <c r="D21">
        <v>0.02</v>
      </c>
    </row>
    <row r="22" spans="1:4" x14ac:dyDescent="0.2">
      <c r="A22">
        <v>2.2915316598539568</v>
      </c>
      <c r="B22">
        <v>5.3282063604144891</v>
      </c>
      <c r="C22">
        <v>0.17008803236144859</v>
      </c>
      <c r="D22">
        <v>0.02</v>
      </c>
    </row>
    <row r="23" spans="1:4" x14ac:dyDescent="0.2">
      <c r="A23">
        <v>2.2848944558891948</v>
      </c>
      <c r="B23">
        <v>5.3393152019189456</v>
      </c>
      <c r="C23">
        <v>0.16901509295663994</v>
      </c>
      <c r="D23">
        <v>2.0000000000000004E-2</v>
      </c>
    </row>
    <row r="24" spans="1:4" x14ac:dyDescent="0.2">
      <c r="A24">
        <v>2.2799450227097688</v>
      </c>
      <c r="B24">
        <v>5.3287335969881617</v>
      </c>
      <c r="C24">
        <v>0.16821673364027712</v>
      </c>
      <c r="D24">
        <v>0.02</v>
      </c>
    </row>
    <row r="25" spans="1:4" x14ac:dyDescent="0.2">
      <c r="A25">
        <v>2.2717496800174839</v>
      </c>
      <c r="B25">
        <v>5.3637637782172494</v>
      </c>
      <c r="C25">
        <v>0.16689807573390397</v>
      </c>
      <c r="D25">
        <v>0.02</v>
      </c>
    </row>
    <row r="26" spans="1:4" x14ac:dyDescent="0.2">
      <c r="A26">
        <v>2.2668644218521132</v>
      </c>
      <c r="B26">
        <v>5.3509583134847372</v>
      </c>
      <c r="C26">
        <v>0.1661139668176583</v>
      </c>
      <c r="D26">
        <v>2.0000000000000004E-2</v>
      </c>
    </row>
    <row r="27" spans="1:4" x14ac:dyDescent="0.2">
      <c r="A27">
        <v>2.2628115250939254</v>
      </c>
      <c r="B27">
        <v>5.3680114414670248</v>
      </c>
      <c r="C27">
        <v>0.16546455978919378</v>
      </c>
      <c r="D27">
        <v>0.02</v>
      </c>
    </row>
    <row r="28" spans="1:4" x14ac:dyDescent="0.2">
      <c r="A28">
        <v>2.258775026050047</v>
      </c>
      <c r="B28">
        <v>5.3729749150514969</v>
      </c>
      <c r="C28">
        <v>0.16481877554698954</v>
      </c>
      <c r="D28">
        <v>0.02</v>
      </c>
    </row>
    <row r="29" spans="1:4" x14ac:dyDescent="0.2">
      <c r="A29">
        <v>2.2555575682754236</v>
      </c>
      <c r="B29">
        <v>5.3639488348913833</v>
      </c>
      <c r="C29">
        <v>0.16430473840081219</v>
      </c>
      <c r="D29">
        <v>0.02</v>
      </c>
    </row>
    <row r="30" spans="1:4" x14ac:dyDescent="0.2">
      <c r="A30">
        <v>2.1843264803881022</v>
      </c>
      <c r="B30">
        <v>5.4485749852537175</v>
      </c>
      <c r="C30">
        <v>0.15308674372169664</v>
      </c>
      <c r="D30">
        <v>1.9999999999999997E-2</v>
      </c>
    </row>
    <row r="31" spans="1:4" x14ac:dyDescent="0.2">
      <c r="A31">
        <v>2.1806015618122281</v>
      </c>
      <c r="B31">
        <v>5.4428628762828355</v>
      </c>
      <c r="C31">
        <v>0.15250868388352692</v>
      </c>
      <c r="D31">
        <v>1.9999999999999997E-2</v>
      </c>
    </row>
    <row r="32" spans="1:4" x14ac:dyDescent="0.2">
      <c r="A32">
        <v>2.1768911503143098</v>
      </c>
      <c r="B32">
        <v>5.4280044018438218</v>
      </c>
      <c r="C32">
        <v>0.15193372436828775</v>
      </c>
      <c r="D32">
        <v>0.02</v>
      </c>
    </row>
    <row r="33" spans="1:4" x14ac:dyDescent="0.2">
      <c r="A33">
        <v>2.1731951642339098</v>
      </c>
      <c r="B33">
        <v>5.4393941448858536</v>
      </c>
      <c r="C33">
        <v>0.15136184293563484</v>
      </c>
      <c r="D33">
        <v>0.02</v>
      </c>
    </row>
    <row r="34" spans="1:4" x14ac:dyDescent="0.2">
      <c r="A34">
        <v>2.1695135225370246</v>
      </c>
      <c r="B34">
        <v>5.4426918630288919</v>
      </c>
      <c r="C34">
        <v>0.1507930175439699</v>
      </c>
      <c r="D34">
        <v>0.02</v>
      </c>
    </row>
    <row r="35" spans="1:4" x14ac:dyDescent="0.2">
      <c r="A35">
        <v>2.1658461448099584</v>
      </c>
      <c r="B35">
        <v>5.4537896234613488</v>
      </c>
      <c r="C35">
        <v>0.15022722634830835</v>
      </c>
      <c r="D35">
        <v>0.02</v>
      </c>
    </row>
    <row r="36" spans="1:4" x14ac:dyDescent="0.2">
      <c r="A36">
        <v>2.1629224590408662</v>
      </c>
      <c r="B36">
        <v>5.4562813366410596</v>
      </c>
      <c r="C36">
        <v>0.14977676345729865</v>
      </c>
      <c r="D36">
        <v>0.02</v>
      </c>
    </row>
    <row r="37" spans="1:4" x14ac:dyDescent="0.2">
      <c r="A37">
        <v>2.1600078105523912</v>
      </c>
      <c r="B37">
        <v>5.4436747900936489</v>
      </c>
      <c r="C37">
        <v>0.14932821759545262</v>
      </c>
      <c r="D37">
        <v>0.02</v>
      </c>
    </row>
    <row r="38" spans="1:4" x14ac:dyDescent="0.2">
      <c r="A38">
        <v>2.1571021590150004</v>
      </c>
      <c r="B38">
        <v>5.4434184674675015</v>
      </c>
      <c r="C38">
        <v>0.1488815778446361</v>
      </c>
      <c r="D38">
        <v>0.02</v>
      </c>
    </row>
    <row r="39" spans="1:4" x14ac:dyDescent="0.2">
      <c r="A39">
        <v>2.1534826855130853</v>
      </c>
      <c r="B39">
        <v>5.4803276685131763</v>
      </c>
      <c r="C39">
        <v>0.14832594211701114</v>
      </c>
      <c r="D39">
        <v>0.02</v>
      </c>
    </row>
    <row r="40" spans="1:4" x14ac:dyDescent="0.2">
      <c r="A40">
        <v>2.0913145036518368</v>
      </c>
      <c r="B40">
        <v>5.5431661660591791</v>
      </c>
      <c r="C40">
        <v>0.13890875890302018</v>
      </c>
      <c r="D40">
        <v>0.02</v>
      </c>
    </row>
    <row r="41" spans="1:4" x14ac:dyDescent="0.2">
      <c r="A41">
        <v>2.0879442911541788</v>
      </c>
      <c r="B41">
        <v>5.5430501500488401</v>
      </c>
      <c r="C41">
        <v>0.13840508360698606</v>
      </c>
      <c r="D41">
        <v>0.02</v>
      </c>
    </row>
    <row r="42" spans="1:4" x14ac:dyDescent="0.2">
      <c r="A42">
        <v>2.0845866377883633</v>
      </c>
      <c r="B42">
        <v>5.5552735494720684</v>
      </c>
      <c r="C42">
        <v>0.13790398625660241</v>
      </c>
      <c r="D42">
        <v>2.0000000000000004E-2</v>
      </c>
    </row>
    <row r="43" spans="1:4" x14ac:dyDescent="0.2">
      <c r="A43">
        <v>2.0812414764655842</v>
      </c>
      <c r="B43">
        <v>5.567009569778067</v>
      </c>
      <c r="C43">
        <v>0.1374054491804336</v>
      </c>
      <c r="D43">
        <v>0.02</v>
      </c>
    </row>
    <row r="44" spans="1:4" x14ac:dyDescent="0.2">
      <c r="A44">
        <v>2.0779087405847592</v>
      </c>
      <c r="B44">
        <v>5.5716807151660399</v>
      </c>
      <c r="C44">
        <v>0.13690945485781938</v>
      </c>
      <c r="D44">
        <v>0.02</v>
      </c>
    </row>
    <row r="45" spans="1:4" x14ac:dyDescent="0.2">
      <c r="A45">
        <v>2.0745883640280227</v>
      </c>
      <c r="B45">
        <v>5.5694985404034156</v>
      </c>
      <c r="C45">
        <v>0.13641598591733198</v>
      </c>
      <c r="D45">
        <v>0.02</v>
      </c>
    </row>
    <row r="46" spans="1:4" x14ac:dyDescent="0.2">
      <c r="A46">
        <v>2.071280281156282</v>
      </c>
      <c r="B46">
        <v>5.5725447434697601</v>
      </c>
      <c r="C46">
        <v>0.13592502513525148</v>
      </c>
      <c r="D46">
        <v>0.02</v>
      </c>
    </row>
    <row r="47" spans="1:4" x14ac:dyDescent="0.2">
      <c r="A47">
        <v>2.0679844268048133</v>
      </c>
      <c r="B47">
        <v>5.5705149728134726</v>
      </c>
      <c r="C47">
        <v>0.13543655543405853</v>
      </c>
      <c r="D47">
        <v>0.02</v>
      </c>
    </row>
    <row r="48" spans="1:4" x14ac:dyDescent="0.2">
      <c r="A48">
        <v>2.0640454521724982</v>
      </c>
      <c r="B48">
        <v>5.5790199228263919</v>
      </c>
      <c r="C48">
        <v>0.13485365618810724</v>
      </c>
      <c r="D48">
        <v>1.9999999999999997E-2</v>
      </c>
    </row>
    <row r="49" spans="1:4" x14ac:dyDescent="0.2">
      <c r="A49">
        <v>2.0614291453495852</v>
      </c>
      <c r="B49">
        <v>5.5825207271168251</v>
      </c>
      <c r="C49">
        <v>0.1344670216863495</v>
      </c>
      <c r="D49">
        <v>0.02</v>
      </c>
    </row>
    <row r="50" spans="1:4" x14ac:dyDescent="0.2">
      <c r="A50">
        <v>2.0033163599518828</v>
      </c>
      <c r="B50">
        <v>5.6395304199570946</v>
      </c>
      <c r="C50">
        <v>0.12598902057107189</v>
      </c>
      <c r="D50">
        <v>0.02</v>
      </c>
    </row>
    <row r="51" spans="1:4" x14ac:dyDescent="0.2">
      <c r="A51">
        <v>2.0008763327887871</v>
      </c>
      <c r="B51">
        <v>5.6342842061394878</v>
      </c>
      <c r="C51">
        <v>0.12563765134981211</v>
      </c>
      <c r="D51">
        <v>2.0000000000000004E-2</v>
      </c>
    </row>
    <row r="52" spans="1:4" x14ac:dyDescent="0.2">
      <c r="A52">
        <v>1.9978361014481456</v>
      </c>
      <c r="B52">
        <v>5.6430359974095561</v>
      </c>
      <c r="C52">
        <v>0.12520037100596759</v>
      </c>
      <c r="D52">
        <v>0.02</v>
      </c>
    </row>
    <row r="53" spans="1:4" x14ac:dyDescent="0.2">
      <c r="A53">
        <v>1.99480671031779</v>
      </c>
      <c r="B53">
        <v>5.6417053252238514</v>
      </c>
      <c r="C53">
        <v>0.12476522329478616</v>
      </c>
      <c r="D53">
        <v>0.02</v>
      </c>
    </row>
    <row r="54" spans="1:4" x14ac:dyDescent="0.2">
      <c r="A54">
        <v>1.992390965456498</v>
      </c>
      <c r="B54">
        <v>5.6557971712967126</v>
      </c>
      <c r="C54">
        <v>0.12441863124005166</v>
      </c>
      <c r="D54">
        <v>0.02</v>
      </c>
    </row>
    <row r="55" spans="1:4" x14ac:dyDescent="0.2">
      <c r="A55">
        <v>1.9893809486001426</v>
      </c>
      <c r="B55">
        <v>5.6494195544492021</v>
      </c>
      <c r="C55">
        <v>0.12398728717845682</v>
      </c>
      <c r="D55">
        <v>2.0000000000000004E-2</v>
      </c>
    </row>
    <row r="56" spans="1:4" x14ac:dyDescent="0.2">
      <c r="A56">
        <v>1.9863816191729942</v>
      </c>
      <c r="B56">
        <v>5.6493152338370933</v>
      </c>
      <c r="C56">
        <v>0.12355803696211427</v>
      </c>
      <c r="D56">
        <v>0.02</v>
      </c>
    </row>
    <row r="57" spans="1:4" x14ac:dyDescent="0.2">
      <c r="A57">
        <v>1.9833929233215193</v>
      </c>
      <c r="B57">
        <v>5.6565915210941329</v>
      </c>
      <c r="C57">
        <v>0.12313086695162753</v>
      </c>
      <c r="D57">
        <v>1.9999999999999997E-2</v>
      </c>
    </row>
    <row r="58" spans="1:4" x14ac:dyDescent="0.2">
      <c r="A58">
        <v>1.9810095868609547</v>
      </c>
      <c r="B58">
        <v>5.6618596747949583</v>
      </c>
      <c r="C58">
        <v>0.12279061959634473</v>
      </c>
      <c r="D58">
        <v>0.02</v>
      </c>
    </row>
    <row r="59" spans="1:4" x14ac:dyDescent="0.2">
      <c r="A59">
        <v>1.9780398969108628</v>
      </c>
      <c r="B59">
        <v>5.676755561641869</v>
      </c>
      <c r="C59">
        <v>0.12236715993712166</v>
      </c>
      <c r="D59">
        <v>1.9999999999999997E-2</v>
      </c>
    </row>
    <row r="60" spans="1:4" x14ac:dyDescent="0.2">
      <c r="A60">
        <v>1.9756716964865781</v>
      </c>
      <c r="B60">
        <v>5.675062425210843</v>
      </c>
      <c r="C60">
        <v>0.12202986351805017</v>
      </c>
      <c r="D60">
        <v>0.02</v>
      </c>
    </row>
    <row r="61" spans="1:4" x14ac:dyDescent="0.2">
      <c r="A61">
        <v>1.498609197975709</v>
      </c>
      <c r="B61">
        <v>6.1757370608347939</v>
      </c>
      <c r="C61">
        <v>6.1142653125671756E-2</v>
      </c>
      <c r="D61">
        <v>1.9999999999999997E-2</v>
      </c>
    </row>
    <row r="62" spans="1:4" x14ac:dyDescent="0.2">
      <c r="A62">
        <v>1.4997818699847241</v>
      </c>
      <c r="B62">
        <v>6.1838592859956121</v>
      </c>
      <c r="C62">
        <v>6.1275714371791336E-2</v>
      </c>
      <c r="D62">
        <v>1.9999999999999997E-2</v>
      </c>
    </row>
    <row r="63" spans="1:4" x14ac:dyDescent="0.2">
      <c r="A63">
        <v>1.5006630668944305</v>
      </c>
      <c r="B63">
        <v>6.1826767707705539</v>
      </c>
      <c r="C63">
        <v>6.1375751979328465E-2</v>
      </c>
      <c r="D63">
        <v>0.02</v>
      </c>
    </row>
    <row r="64" spans="1:4" x14ac:dyDescent="0.2">
      <c r="A64">
        <v>1.5015457182731735</v>
      </c>
      <c r="B64">
        <v>6.1778301850727519</v>
      </c>
      <c r="C64">
        <v>6.1475997398943896E-2</v>
      </c>
      <c r="D64">
        <v>0.02</v>
      </c>
    </row>
    <row r="65" spans="1:4" x14ac:dyDescent="0.2">
      <c r="A65">
        <v>1.5024298271991909</v>
      </c>
      <c r="B65">
        <v>6.1782400883413215</v>
      </c>
      <c r="C65">
        <v>6.1576451230389302E-2</v>
      </c>
      <c r="D65">
        <v>0.02</v>
      </c>
    </row>
    <row r="66" spans="1:4" x14ac:dyDescent="0.2">
      <c r="A66">
        <v>1.5036109117337453</v>
      </c>
      <c r="B66">
        <v>6.1776046666356645</v>
      </c>
      <c r="C66">
        <v>6.171071490909498E-2</v>
      </c>
      <c r="D66">
        <v>0.02</v>
      </c>
    </row>
    <row r="67" spans="1:4" x14ac:dyDescent="0.2">
      <c r="A67">
        <v>1.5044984336254552</v>
      </c>
      <c r="B67">
        <v>6.1679210570934186</v>
      </c>
      <c r="C67">
        <v>6.1811657379163956E-2</v>
      </c>
      <c r="D67">
        <v>2.0000000000000004E-2</v>
      </c>
    </row>
    <row r="68" spans="1:4" x14ac:dyDescent="0.2">
      <c r="A68">
        <v>1.5053874233910705</v>
      </c>
      <c r="B68">
        <v>6.1739894376709019</v>
      </c>
      <c r="C68">
        <v>6.1912810275675162E-2</v>
      </c>
      <c r="D68">
        <v>1.9999999999999997E-2</v>
      </c>
    </row>
    <row r="69" spans="1:4" x14ac:dyDescent="0.2">
      <c r="A69">
        <v>1.5062778841484596</v>
      </c>
      <c r="B69">
        <v>6.1746888534815252</v>
      </c>
      <c r="C69">
        <v>6.2014174207679733E-2</v>
      </c>
      <c r="D69">
        <v>1.9999999999999997E-2</v>
      </c>
    </row>
    <row r="70" spans="1:4" x14ac:dyDescent="0.2">
      <c r="A70">
        <v>1.5074674587739407</v>
      </c>
      <c r="B70">
        <v>6.1651636928776146</v>
      </c>
      <c r="C70">
        <v>6.2149655451199576E-2</v>
      </c>
      <c r="D70">
        <v>0.02</v>
      </c>
    </row>
    <row r="71" spans="1:4" x14ac:dyDescent="0.2">
      <c r="A71">
        <v>1.5237870213801679</v>
      </c>
      <c r="B71">
        <v>6.1404887267018813</v>
      </c>
      <c r="C71">
        <v>6.4016225589765469E-2</v>
      </c>
      <c r="D71">
        <v>0.02</v>
      </c>
    </row>
    <row r="72" spans="1:4" x14ac:dyDescent="0.2">
      <c r="A72">
        <v>1.5247080837141989</v>
      </c>
      <c r="B72">
        <v>6.1171735324862757</v>
      </c>
      <c r="C72">
        <v>6.4122016252016481E-2</v>
      </c>
      <c r="D72">
        <v>0.02</v>
      </c>
    </row>
    <row r="73" spans="1:4" x14ac:dyDescent="0.2">
      <c r="A73">
        <v>1.5259385625875388</v>
      </c>
      <c r="B73">
        <v>6.1146655437770336</v>
      </c>
      <c r="C73">
        <v>6.4263419899580496E-2</v>
      </c>
      <c r="D73">
        <v>1.9999999999999997E-2</v>
      </c>
    </row>
    <row r="74" spans="1:4" x14ac:dyDescent="0.2">
      <c r="A74">
        <v>1.5268632228855143</v>
      </c>
      <c r="B74">
        <v>6.1046363819715612</v>
      </c>
      <c r="C74">
        <v>6.436973556452126E-2</v>
      </c>
      <c r="D74">
        <v>0.02</v>
      </c>
    </row>
    <row r="75" spans="1:4" x14ac:dyDescent="0.2">
      <c r="A75">
        <v>1.5280985111679724</v>
      </c>
      <c r="B75">
        <v>6.1117133345847403</v>
      </c>
      <c r="C75">
        <v>6.4511841617347937E-2</v>
      </c>
      <c r="D75">
        <v>0.02</v>
      </c>
    </row>
    <row r="76" spans="1:4" x14ac:dyDescent="0.2">
      <c r="A76">
        <v>1.5299566195239138</v>
      </c>
      <c r="B76">
        <v>6.1232104672158947</v>
      </c>
      <c r="C76">
        <v>6.4725757832959627E-2</v>
      </c>
      <c r="D76">
        <v>0.02</v>
      </c>
    </row>
    <row r="77" spans="1:4" x14ac:dyDescent="0.2">
      <c r="A77">
        <v>1.5308880101809479</v>
      </c>
      <c r="B77">
        <v>6.1308883792839213</v>
      </c>
      <c r="C77">
        <v>6.4833058103049512E-2</v>
      </c>
      <c r="D77">
        <v>0.02</v>
      </c>
    </row>
    <row r="78" spans="1:4" x14ac:dyDescent="0.2">
      <c r="A78">
        <v>1.5324438011079495</v>
      </c>
      <c r="B78">
        <v>6.1020745996911412</v>
      </c>
      <c r="C78">
        <v>6.5012401121103638E-2</v>
      </c>
      <c r="D78">
        <v>0.02</v>
      </c>
    </row>
    <row r="79" spans="1:4" x14ac:dyDescent="0.2">
      <c r="A79">
        <v>1.5377661614838274</v>
      </c>
      <c r="B79">
        <v>6.1078294084779445</v>
      </c>
      <c r="C79">
        <v>6.5626967953308427E-2</v>
      </c>
      <c r="D79">
        <v>1.9999999999999997E-2</v>
      </c>
    </row>
    <row r="80" spans="1:4" x14ac:dyDescent="0.2">
      <c r="A80">
        <v>1.5390258658781188</v>
      </c>
      <c r="B80">
        <v>6.1080932027199664</v>
      </c>
      <c r="C80">
        <v>6.5772659360791061E-2</v>
      </c>
      <c r="D80">
        <v>0.02</v>
      </c>
    </row>
    <row r="81" spans="1:4" x14ac:dyDescent="0.2">
      <c r="A81">
        <v>1.5576138617616593</v>
      </c>
      <c r="B81">
        <v>6.1180226415171637</v>
      </c>
      <c r="C81">
        <v>6.7932971566193781E-2</v>
      </c>
      <c r="D81">
        <v>0.02</v>
      </c>
    </row>
    <row r="82" spans="1:4" x14ac:dyDescent="0.2">
      <c r="A82">
        <v>1.5589183815692511</v>
      </c>
      <c r="B82">
        <v>6.1195448773226877</v>
      </c>
      <c r="C82">
        <v>6.8085327167707682E-2</v>
      </c>
      <c r="D82">
        <v>2.0000000000000004E-2</v>
      </c>
    </row>
    <row r="83" spans="1:4" x14ac:dyDescent="0.2">
      <c r="A83">
        <v>1.5598987149920662</v>
      </c>
      <c r="B83">
        <v>6.1056724801628981</v>
      </c>
      <c r="C83">
        <v>6.8199885319712994E-2</v>
      </c>
      <c r="D83">
        <v>1.9999999999999997E-2</v>
      </c>
    </row>
    <row r="84" spans="1:4" x14ac:dyDescent="0.2">
      <c r="A84">
        <v>1.5618643957030849</v>
      </c>
      <c r="B84">
        <v>6.1033121415608687</v>
      </c>
      <c r="C84">
        <v>6.8429754333169932E-2</v>
      </c>
      <c r="D84">
        <v>0.02</v>
      </c>
    </row>
    <row r="85" spans="1:4" x14ac:dyDescent="0.2">
      <c r="A85">
        <v>1.5628497504626069</v>
      </c>
      <c r="B85">
        <v>6.1032458834856413</v>
      </c>
      <c r="C85">
        <v>6.8545066708727398E-2</v>
      </c>
      <c r="D85">
        <v>0.02</v>
      </c>
    </row>
    <row r="86" spans="1:4" x14ac:dyDescent="0.2">
      <c r="A86">
        <v>1.5644957464081717</v>
      </c>
      <c r="B86">
        <v>6.108334952993113</v>
      </c>
      <c r="C86">
        <v>6.8737816437794669E-2</v>
      </c>
      <c r="D86">
        <v>0.02</v>
      </c>
    </row>
    <row r="87" spans="1:4" x14ac:dyDescent="0.2">
      <c r="A87">
        <v>1.5658159174283461</v>
      </c>
      <c r="B87">
        <v>6.1030249915230019</v>
      </c>
      <c r="C87">
        <v>6.8892524454710197E-2</v>
      </c>
      <c r="D87">
        <v>0.02</v>
      </c>
    </row>
    <row r="88" spans="1:4" x14ac:dyDescent="0.2">
      <c r="A88">
        <v>1.5674703637568457</v>
      </c>
      <c r="B88">
        <v>6.100924080724484</v>
      </c>
      <c r="C88">
        <v>6.9086547759912714E-2</v>
      </c>
      <c r="D88">
        <v>2.0000000000000004E-2</v>
      </c>
    </row>
    <row r="89" spans="1:4" x14ac:dyDescent="0.2">
      <c r="A89">
        <v>1.5691295293624214</v>
      </c>
      <c r="B89">
        <v>6.0972646069310219</v>
      </c>
      <c r="C89">
        <v>6.9281283613747496E-2</v>
      </c>
      <c r="D89">
        <v>2.0000000000000004E-2</v>
      </c>
    </row>
    <row r="90" spans="1:4" x14ac:dyDescent="0.2">
      <c r="A90">
        <v>1.5704602716184892</v>
      </c>
      <c r="B90">
        <v>6.0886958036646863</v>
      </c>
      <c r="C90">
        <v>6.9437587753129582E-2</v>
      </c>
      <c r="D90">
        <v>2.0000000000000004E-2</v>
      </c>
    </row>
    <row r="91" spans="1:4" x14ac:dyDescent="0.2">
      <c r="A91">
        <v>1.5945955860385275</v>
      </c>
      <c r="B91">
        <v>6.0757941450976567</v>
      </c>
      <c r="C91">
        <v>7.2290332859765064E-2</v>
      </c>
      <c r="D91">
        <v>0.02</v>
      </c>
    </row>
    <row r="92" spans="1:4" x14ac:dyDescent="0.2">
      <c r="A92">
        <v>1.5963327313974764</v>
      </c>
      <c r="B92">
        <v>6.0710610547526036</v>
      </c>
      <c r="C92">
        <v>7.2496975409895414E-2</v>
      </c>
      <c r="D92">
        <v>0.02</v>
      </c>
    </row>
    <row r="93" spans="1:4" x14ac:dyDescent="0.2">
      <c r="A93">
        <v>1.5973774332724908</v>
      </c>
      <c r="B93">
        <v>6.0649523841215522</v>
      </c>
      <c r="C93">
        <v>7.2621333646356284E-2</v>
      </c>
      <c r="D93">
        <v>0.02</v>
      </c>
    </row>
    <row r="94" spans="1:4" x14ac:dyDescent="0.2">
      <c r="A94">
        <v>1.5987731948652979</v>
      </c>
      <c r="B94">
        <v>6.0650441756630267</v>
      </c>
      <c r="C94">
        <v>7.2787581246732E-2</v>
      </c>
      <c r="D94">
        <v>2.0000000000000004E-2</v>
      </c>
    </row>
    <row r="95" spans="1:4" x14ac:dyDescent="0.2">
      <c r="A95">
        <v>1.5998221408113424</v>
      </c>
      <c r="B95">
        <v>6.0622407361689641</v>
      </c>
      <c r="C95">
        <v>7.2912595537648978E-2</v>
      </c>
      <c r="D95">
        <v>2.0000000000000004E-2</v>
      </c>
    </row>
    <row r="96" spans="1:4" x14ac:dyDescent="0.2">
      <c r="A96">
        <v>1.6012235764042937</v>
      </c>
      <c r="B96">
        <v>6.0531561739741244</v>
      </c>
      <c r="C96">
        <v>7.3079721039769827E-2</v>
      </c>
      <c r="D96">
        <v>0.02</v>
      </c>
    </row>
    <row r="97" spans="1:4" x14ac:dyDescent="0.2">
      <c r="A97">
        <v>1.6022767893199741</v>
      </c>
      <c r="B97">
        <v>6.0557535780318092</v>
      </c>
      <c r="C97">
        <v>7.3205396138952591E-2</v>
      </c>
      <c r="D97">
        <v>0.02</v>
      </c>
    </row>
    <row r="98" spans="1:4" x14ac:dyDescent="0.2">
      <c r="A98">
        <v>1.6036839295580794</v>
      </c>
      <c r="B98">
        <v>6.0409606159569265</v>
      </c>
      <c r="C98">
        <v>7.3373405909602882E-2</v>
      </c>
      <c r="D98">
        <v>0.02</v>
      </c>
    </row>
    <row r="99" spans="1:4" x14ac:dyDescent="0.2">
      <c r="A99">
        <v>1.6050943434402991</v>
      </c>
      <c r="B99">
        <v>6.051296746141988</v>
      </c>
      <c r="C99">
        <v>7.3541923857097263E-2</v>
      </c>
      <c r="D99">
        <v>0.02</v>
      </c>
    </row>
    <row r="100" spans="1:4" x14ac:dyDescent="0.2">
      <c r="A100">
        <v>1.6065080410907546</v>
      </c>
      <c r="B100">
        <v>6.0415011120514883</v>
      </c>
      <c r="C100">
        <v>7.3710952089812529E-2</v>
      </c>
      <c r="D100">
        <v>0.02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Data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Ines de Uriarte Alvarez de Espejo</dc:creator>
  <cp:lastModifiedBy>Maria Ines de Uriarte Alvarez de Espejo</cp:lastModifiedBy>
  <dcterms:created xsi:type="dcterms:W3CDTF">2026-09-22T02:02:23Z</dcterms:created>
  <dcterms:modified xsi:type="dcterms:W3CDTF">2026-09-22T20:21:28Z</dcterms:modified>
</cp:coreProperties>
</file>